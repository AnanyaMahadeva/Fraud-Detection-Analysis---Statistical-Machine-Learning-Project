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88b0d3d373df33/Documents/Projects/Fraud Detection Analysis/"/>
    </mc:Choice>
  </mc:AlternateContent>
  <xr:revisionPtr revIDLastSave="51" documentId="13_ncr:1_{511196A6-8B6C-4601-9EEC-01C1C5ECF29D}" xr6:coauthVersionLast="47" xr6:coauthVersionMax="47" xr10:uidLastSave="{D36936C5-7AA9-45A0-9FB6-CB0C9E166C4F}"/>
  <bookViews>
    <workbookView xWindow="-98" yWindow="-98" windowWidth="19396" windowHeight="11475" xr2:uid="{00000000-000D-0000-FFFF-FFFF00000000}"/>
  </bookViews>
  <sheets>
    <sheet name="Master_data" sheetId="1" r:id="rId1"/>
    <sheet name="Summary stats" sheetId="13" r:id="rId2"/>
    <sheet name="Outlier_Detection" sheetId="12" r:id="rId3"/>
    <sheet name="Correlation matrix" sheetId="8" r:id="rId4"/>
    <sheet name="Charts" sheetId="10" r:id="rId5"/>
    <sheet name="Regression analysis" sheetId="11" state="hidden" r:id="rId6"/>
    <sheet name="Numerical_data" sheetId="7" r:id="rId7"/>
    <sheet name="fraud vs Non fraud" sheetId="3" r:id="rId8"/>
    <sheet name="pivot table" sheetId="9" r:id="rId9"/>
  </sheets>
  <definedNames>
    <definedName name="_xlnm._FilterDatabase" localSheetId="0" hidden="1">Master_data!$A$1:$AP$501</definedName>
    <definedName name="_xlnm._FilterDatabase" localSheetId="6" hidden="1">Numerical_data!$P$1:$P$501</definedName>
    <definedName name="_xlchart.v1.0" hidden="1">Master_data!$M$1</definedName>
    <definedName name="_xlchart.v1.1" hidden="1">Master_data!$M$2:$M$501</definedName>
    <definedName name="_xlchart.v1.10" hidden="1">Numerical_data!$O$2:$O$502</definedName>
    <definedName name="_xlchart.v1.2" hidden="1">Master_data!$O$2:$O$501</definedName>
    <definedName name="_xlchart.v1.3" hidden="1">Master_data!$L$1</definedName>
    <definedName name="_xlchart.v1.4" hidden="1">Master_data!$L$2:$L$502</definedName>
    <definedName name="_xlchart.v1.5" hidden="1">Master_data!$O$2:$O$501</definedName>
    <definedName name="_xlchart.v1.6" hidden="1">Master_data!$N$1</definedName>
    <definedName name="_xlchart.v1.7" hidden="1">Master_data!$N$2:$N$501</definedName>
    <definedName name="_xlchart.v1.8" hidden="1">Master_data!$O$2:$O$501</definedName>
    <definedName name="_xlchart.v1.9" hidden="1">Numerical_data!$O$1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" i="1" l="1"/>
  <c r="AE6" i="1"/>
  <c r="AE7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2" i="1"/>
  <c r="Y477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2" i="1"/>
</calcChain>
</file>

<file path=xl/sharedStrings.xml><?xml version="1.0" encoding="utf-8"?>
<sst xmlns="http://schemas.openxmlformats.org/spreadsheetml/2006/main" count="4734" uniqueCount="1089">
  <si>
    <t>transaction_id</t>
  </si>
  <si>
    <t>customer_id</t>
  </si>
  <si>
    <t>age</t>
  </si>
  <si>
    <t>gender</t>
  </si>
  <si>
    <t>education</t>
  </si>
  <si>
    <t>marital_status</t>
  </si>
  <si>
    <t>region</t>
  </si>
  <si>
    <t>personal_income</t>
  </si>
  <si>
    <t>family_income</t>
  </si>
  <si>
    <t>credit_score</t>
  </si>
  <si>
    <t>loan_amount</t>
  </si>
  <si>
    <t>has_loan</t>
  </si>
  <si>
    <t>owns_home</t>
  </si>
  <si>
    <t>transaction_amount</t>
  </si>
  <si>
    <t>transaction_type</t>
  </si>
  <si>
    <t>device_type</t>
  </si>
  <si>
    <t>account_age_days</t>
  </si>
  <si>
    <t>num_prev_transactions</t>
  </si>
  <si>
    <t>avg_transaction_value</t>
  </si>
  <si>
    <t>internet_usage_hrs</t>
  </si>
  <si>
    <t>mobile_usage_hrs</t>
  </si>
  <si>
    <t>is_fraud</t>
  </si>
  <si>
    <t>fraud_amount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</si>
  <si>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</si>
  <si>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</si>
  <si>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</si>
  <si>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</si>
  <si>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</si>
  <si>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</si>
  <si>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</si>
  <si>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</si>
  <si>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</si>
  <si>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</si>
  <si>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</si>
  <si>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</si>
  <si>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</si>
  <si>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</si>
  <si>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</si>
  <si>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</si>
  <si>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</si>
  <si>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</si>
  <si>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</si>
  <si>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</si>
  <si>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</si>
  <si>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</si>
  <si>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</si>
  <si>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</si>
  <si>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</si>
  <si>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</si>
  <si>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</si>
  <si>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</si>
  <si>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</si>
  <si>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</si>
  <si>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</si>
  <si>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</si>
  <si>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</si>
  <si>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</si>
  <si>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</si>
  <si>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</si>
  <si>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</si>
  <si>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</si>
  <si>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</si>
  <si>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</si>
  <si>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</si>
  <si>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</si>
  <si>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</si>
  <si>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</si>
  <si>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</si>
  <si>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</si>
  <si>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</si>
  <si>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</si>
  <si>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</si>
  <si>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</si>
  <si>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</si>
  <si>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</si>
  <si>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</si>
  <si>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</si>
  <si>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</si>
  <si>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</si>
  <si>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</si>
  <si>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</si>
  <si>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</si>
  <si>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</si>
  <si>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</si>
  <si>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</si>
  <si>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</si>
  <si>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</si>
  <si>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</si>
  <si>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</si>
  <si>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</si>
  <si>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</si>
  <si>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</si>
  <si>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</si>
  <si>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</si>
  <si>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</si>
  <si>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</si>
  <si>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</si>
  <si>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</si>
  <si>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</si>
  <si>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</si>
  <si>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</si>
  <si>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</si>
  <si>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</si>
  <si>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</si>
  <si>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</si>
  <si>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</si>
  <si>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</si>
  <si>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</si>
  <si>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</si>
  <si>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</si>
  <si>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</si>
  <si>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</si>
  <si>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</si>
  <si>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</si>
  <si>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</si>
  <si>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</si>
  <si>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</si>
  <si>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</si>
  <si>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</si>
  <si>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</si>
  <si>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</si>
  <si>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</si>
  <si>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</si>
  <si>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</si>
  <si>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</si>
  <si>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</si>
  <si>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</si>
  <si>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</si>
  <si>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</si>
  <si>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</si>
  <si>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</si>
  <si>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</si>
  <si>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</si>
  <si>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</si>
  <si>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</si>
  <si>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</si>
  <si>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</si>
  <si>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</si>
  <si>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</si>
  <si>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</si>
  <si>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</si>
  <si>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</si>
  <si>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</si>
  <si>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</si>
  <si>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</si>
  <si>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</si>
  <si>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</si>
  <si>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</si>
  <si>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</si>
  <si>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</si>
  <si>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</si>
  <si>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</si>
  <si>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</si>
  <si>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</si>
  <si>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</si>
  <si>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</si>
  <si>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</si>
  <si>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</si>
  <si>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</si>
  <si>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</si>
  <si>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</si>
  <si>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</si>
  <si>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</si>
  <si>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</si>
  <si>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</si>
  <si>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</si>
  <si>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</si>
  <si>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</si>
  <si>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</si>
  <si>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</si>
  <si>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</si>
  <si>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</si>
  <si>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</si>
  <si>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</si>
  <si>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</si>
  <si>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</si>
  <si>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</si>
  <si>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</si>
  <si>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</si>
  <si>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</si>
  <si>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</si>
  <si>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</si>
  <si>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</si>
  <si>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</si>
  <si>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</si>
  <si>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</si>
  <si>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</si>
  <si>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</si>
  <si>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</si>
  <si>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</si>
  <si>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</si>
  <si>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</si>
  <si>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</si>
  <si>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</si>
  <si>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</si>
  <si>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</si>
  <si>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</si>
  <si>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</si>
  <si>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</si>
  <si>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</si>
  <si>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</si>
  <si>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</si>
  <si>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</si>
  <si>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</si>
  <si>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</si>
  <si>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</si>
  <si>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</si>
  <si>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</si>
  <si>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</si>
  <si>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</si>
  <si>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</si>
  <si>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</si>
  <si>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</si>
  <si>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</si>
  <si>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</si>
  <si>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</si>
  <si>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</si>
  <si>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</si>
  <si>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</si>
  <si>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</si>
  <si>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</si>
  <si>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</si>
  <si>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</si>
  <si>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</si>
  <si>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</si>
  <si>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</si>
  <si>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</si>
  <si>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</si>
  <si>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</si>
  <si>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</si>
  <si>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</si>
  <si>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</si>
  <si>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</si>
  <si>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</si>
  <si>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</si>
  <si>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</si>
  <si>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</si>
  <si>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</si>
  <si>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</si>
  <si>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</si>
  <si>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</si>
  <si>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</si>
  <si>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</si>
  <si>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</si>
  <si>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</si>
  <si>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</si>
  <si>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</si>
  <si>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</si>
  <si>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</si>
  <si>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</si>
  <si>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</si>
  <si>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</si>
  <si>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</si>
  <si>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</si>
  <si>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</si>
  <si>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</si>
  <si>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</si>
  <si>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</si>
  <si>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</si>
  <si>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</si>
  <si>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</si>
  <si>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</si>
  <si>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</si>
  <si>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</si>
  <si>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</si>
  <si>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</si>
  <si>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</si>
  <si>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</si>
  <si>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</si>
  <si>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</si>
  <si>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</si>
  <si>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</si>
  <si>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</si>
  <si>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</si>
  <si>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</si>
  <si>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</si>
  <si>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</si>
  <si>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</si>
  <si>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</si>
  <si>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</si>
  <si>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</si>
  <si>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</si>
  <si>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</si>
  <si>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</si>
  <si>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</si>
  <si>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</si>
  <si>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</si>
  <si>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</si>
  <si>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</si>
  <si>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</si>
  <si>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</si>
  <si>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</si>
  <si>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</si>
  <si>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</si>
  <si>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</si>
  <si>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</si>
  <si>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</si>
  <si>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</si>
  <si>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</si>
  <si>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</si>
  <si>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</si>
  <si>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</si>
  <si>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</si>
  <si>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</si>
  <si>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</si>
  <si>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</si>
  <si>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</si>
  <si>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</si>
  <si>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</si>
  <si>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</si>
  <si>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</si>
  <si>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</si>
  <si>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</si>
  <si>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</si>
  <si>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</si>
  <si>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</si>
  <si>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</si>
  <si>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</si>
  <si>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</si>
  <si>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</si>
  <si>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</si>
  <si>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</si>
  <si>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</si>
  <si>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</si>
  <si>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</si>
  <si>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</si>
  <si>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</si>
  <si>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</si>
  <si>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</si>
  <si>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</si>
  <si>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</si>
  <si>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</si>
  <si>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</si>
  <si>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</si>
  <si>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</si>
  <si>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</si>
  <si>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</si>
  <si>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</si>
  <si>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</si>
  <si>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</si>
  <si>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</si>
  <si>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</si>
  <si>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</si>
  <si>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</si>
  <si>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</si>
  <si>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</si>
  <si>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</si>
  <si>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</si>
  <si>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</si>
  <si>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</si>
  <si>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</si>
  <si>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</si>
  <si>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</si>
  <si>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</si>
  <si>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</si>
  <si>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</si>
  <si>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</si>
  <si>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</si>
  <si>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</si>
  <si>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</si>
  <si>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</si>
  <si>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</si>
  <si>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</si>
  <si>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</si>
  <si>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</si>
  <si>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</si>
  <si>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</si>
  <si>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</si>
  <si>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</si>
  <si>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</si>
  <si>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</si>
  <si>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</si>
  <si>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</si>
  <si>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</si>
  <si>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</si>
  <si>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</si>
  <si>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</si>
  <si>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</si>
  <si>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</si>
  <si>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</si>
  <si>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</si>
  <si>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</si>
  <si>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</si>
  <si>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</si>
  <si>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</si>
  <si>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</si>
  <si>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</si>
  <si>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</si>
  <si>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</si>
  <si>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</si>
  <si>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</si>
  <si>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</si>
  <si>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</si>
  <si>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</si>
  <si>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</si>
  <si>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</si>
  <si>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</si>
  <si>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</si>
  <si>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</si>
  <si>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</si>
  <si>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</si>
  <si>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</si>
  <si>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</si>
  <si>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</si>
  <si>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</si>
  <si>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</si>
  <si>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</si>
  <si>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</si>
  <si>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</si>
  <si>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</si>
  <si>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</si>
  <si>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</si>
  <si>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</si>
  <si>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</si>
  <si>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</si>
  <si>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</si>
  <si>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</si>
  <si>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</si>
  <si>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</si>
  <si>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</si>
  <si>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</si>
  <si>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</si>
  <si>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</si>
  <si>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</si>
  <si>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</si>
  <si>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</si>
  <si>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</si>
  <si>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</si>
  <si>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</si>
  <si>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</si>
  <si>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</si>
  <si>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</si>
  <si>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</si>
  <si>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</si>
  <si>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</si>
  <si>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</si>
  <si>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</si>
  <si>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</si>
  <si>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</si>
  <si>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</si>
  <si>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</si>
  <si>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</si>
  <si>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</si>
  <si>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</si>
  <si>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</si>
  <si>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</si>
  <si>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</si>
  <si>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</si>
  <si>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</si>
  <si>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</si>
  <si>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</si>
  <si>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</si>
  <si>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</si>
  <si>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</si>
  <si>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</si>
  <si>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</si>
  <si>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</si>
  <si>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</si>
  <si>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</si>
  <si>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</si>
  <si>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</si>
  <si>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</si>
  <si>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</si>
  <si>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</si>
  <si>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</si>
  <si>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</si>
  <si>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</si>
  <si>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</si>
  <si>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</si>
  <si>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</si>
  <si>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</si>
  <si>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</si>
  <si>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</si>
  <si>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</si>
  <si>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</si>
  <si>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</si>
  <si>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</si>
  <si>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</si>
  <si>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</si>
  <si>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</si>
  <si>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</si>
  <si>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</si>
  <si>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</si>
  <si>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</si>
  <si>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</si>
  <si>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</si>
  <si>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</si>
  <si>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</si>
  <si>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</si>
  <si>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</si>
  <si>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</si>
  <si>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</si>
  <si>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</si>
  <si>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</si>
  <si>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</si>
  <si>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</si>
  <si>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</si>
  <si>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</si>
  <si>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</si>
  <si>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</si>
  <si>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</si>
  <si>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</si>
  <si>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</si>
  <si>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</si>
  <si>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</si>
  <si>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</si>
  <si>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</si>
  <si>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</si>
  <si>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</si>
  <si>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</si>
  <si>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</si>
  <si>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</si>
  <si>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</si>
  <si>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</si>
  <si>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</si>
  <si>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</si>
  <si>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</si>
  <si>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</si>
  <si>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</si>
  <si>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</si>
  <si>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</si>
  <si>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</si>
  <si>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</si>
  <si>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C9889</t>
  </si>
  <si>
    <t>C8368</t>
  </si>
  <si>
    <t>C5818</t>
  </si>
  <si>
    <t>C1027</t>
  </si>
  <si>
    <t>C5254</t>
  </si>
  <si>
    <t>C6635</t>
  </si>
  <si>
    <t>C5305</t>
  </si>
  <si>
    <t>C6336</t>
  </si>
  <si>
    <t>C1895</t>
  </si>
  <si>
    <t>C3793</t>
  </si>
  <si>
    <t>C4757</t>
  </si>
  <si>
    <t>C4581</t>
  </si>
  <si>
    <t>C4403</t>
  </si>
  <si>
    <t>C5443</t>
  </si>
  <si>
    <t>C9322</t>
  </si>
  <si>
    <t>C3235</t>
  </si>
  <si>
    <t>C2221</t>
  </si>
  <si>
    <t>C1312</t>
  </si>
  <si>
    <t>C6770</t>
  </si>
  <si>
    <t>C9787</t>
  </si>
  <si>
    <t>C6281</t>
  </si>
  <si>
    <t>C7396</t>
  </si>
  <si>
    <t>C4986</t>
  </si>
  <si>
    <t>C9383</t>
  </si>
  <si>
    <t>C3803</t>
  </si>
  <si>
    <t>C2532</t>
  </si>
  <si>
    <t>C9438</t>
  </si>
  <si>
    <t>C5175</t>
  </si>
  <si>
    <t>C9876</t>
  </si>
  <si>
    <t>C6218</t>
  </si>
  <si>
    <t>C2385</t>
  </si>
  <si>
    <t>C6487</t>
  </si>
  <si>
    <t>C3230</t>
  </si>
  <si>
    <t>C9723</t>
  </si>
  <si>
    <t>C4617</t>
  </si>
  <si>
    <t>C1713</t>
  </si>
  <si>
    <t>C8751</t>
  </si>
  <si>
    <t>C3503</t>
  </si>
  <si>
    <t>C5766</t>
  </si>
  <si>
    <t>C5462</t>
  </si>
  <si>
    <t>C5719</t>
  </si>
  <si>
    <t>C2383</t>
  </si>
  <si>
    <t>C2005</t>
  </si>
  <si>
    <t>C7923</t>
  </si>
  <si>
    <t>C7613</t>
  </si>
  <si>
    <t>C3692</t>
  </si>
  <si>
    <t>C2052</t>
  </si>
  <si>
    <t>C3195</t>
  </si>
  <si>
    <t>C4747</t>
  </si>
  <si>
    <t>C9411</t>
  </si>
  <si>
    <t>C6684</t>
  </si>
  <si>
    <t>C9098</t>
  </si>
  <si>
    <t>C3972</t>
  </si>
  <si>
    <t>C5453</t>
  </si>
  <si>
    <t>C6382</t>
  </si>
  <si>
    <t>C5532</t>
  </si>
  <si>
    <t>C5204</t>
  </si>
  <si>
    <t>C4972</t>
  </si>
  <si>
    <t>C2244</t>
  </si>
  <si>
    <t>C7655</t>
  </si>
  <si>
    <t>C1928</t>
  </si>
  <si>
    <t>C6994</t>
  </si>
  <si>
    <t>C8740</t>
  </si>
  <si>
    <t>C1606</t>
  </si>
  <si>
    <t>C7774</t>
  </si>
  <si>
    <t>C9683</t>
  </si>
  <si>
    <t>C5397</t>
  </si>
  <si>
    <t>C1131</t>
  </si>
  <si>
    <t>C2813</t>
  </si>
  <si>
    <t>C1340</t>
  </si>
  <si>
    <t>C2484</t>
  </si>
  <si>
    <t>C1483</t>
  </si>
  <si>
    <t>C4671</t>
  </si>
  <si>
    <t>C2748</t>
  </si>
  <si>
    <t>C4485</t>
  </si>
  <si>
    <t>C7549</t>
  </si>
  <si>
    <t>C8458</t>
  </si>
  <si>
    <t>C6844</t>
  </si>
  <si>
    <t>C2985</t>
  </si>
  <si>
    <t>C4588</t>
  </si>
  <si>
    <t>C9093</t>
  </si>
  <si>
    <t>C3254</t>
  </si>
  <si>
    <t>C1242</t>
  </si>
  <si>
    <t>C1609</t>
  </si>
  <si>
    <t>C7558</t>
  </si>
  <si>
    <t>C9688</t>
  </si>
  <si>
    <t>C5961</t>
  </si>
  <si>
    <t>C2515</t>
  </si>
  <si>
    <t>C7441</t>
  </si>
  <si>
    <t>C3086</t>
  </si>
  <si>
    <t>C3036</t>
  </si>
  <si>
    <t>C8570</t>
  </si>
  <si>
    <t>C6106</t>
  </si>
  <si>
    <t>C4087</t>
  </si>
  <si>
    <t>C4280</t>
  </si>
  <si>
    <t>C8478</t>
  </si>
  <si>
    <t>C2714</t>
  </si>
  <si>
    <t>C1967</t>
  </si>
  <si>
    <t>C4283</t>
  </si>
  <si>
    <t>C3712</t>
  </si>
  <si>
    <t>C3270</t>
  </si>
  <si>
    <t>C1969</t>
  </si>
  <si>
    <t>C8893</t>
  </si>
  <si>
    <t>C5106</t>
  </si>
  <si>
    <t>C9684</t>
  </si>
  <si>
    <t>C7319</t>
  </si>
  <si>
    <t>C8109</t>
  </si>
  <si>
    <t>C7949</t>
  </si>
  <si>
    <t>C8257</t>
  </si>
  <si>
    <t>C7430</t>
  </si>
  <si>
    <t>C2342</t>
  </si>
  <si>
    <t>C7677</t>
  </si>
  <si>
    <t>C4147</t>
  </si>
  <si>
    <t>C4484</t>
  </si>
  <si>
    <t>C4313</t>
  </si>
  <si>
    <t>C7811</t>
  </si>
  <si>
    <t>C8291</t>
  </si>
  <si>
    <t>C5378</t>
  </si>
  <si>
    <t>C6882</t>
  </si>
  <si>
    <t>C5576</t>
  </si>
  <si>
    <t>C1773</t>
  </si>
  <si>
    <t>C1060</t>
  </si>
  <si>
    <t>C6249</t>
  </si>
  <si>
    <t>C8633</t>
  </si>
  <si>
    <t>C9413</t>
  </si>
  <si>
    <t>C6366</t>
  </si>
  <si>
    <t>C8197</t>
  </si>
  <si>
    <t>C5044</t>
  </si>
  <si>
    <t>C3203</t>
  </si>
  <si>
    <t>C6879</t>
  </si>
  <si>
    <t>C7401</t>
  </si>
  <si>
    <t>C4091</t>
  </si>
  <si>
    <t>C9128</t>
  </si>
  <si>
    <t>C9774</t>
  </si>
  <si>
    <t>C7183</t>
  </si>
  <si>
    <t>C6721</t>
  </si>
  <si>
    <t>C6806</t>
  </si>
  <si>
    <t>C2243</t>
  </si>
  <si>
    <t>C7966</t>
  </si>
  <si>
    <t>C5845</t>
  </si>
  <si>
    <t>C6610</t>
  </si>
  <si>
    <t>C1417</t>
  </si>
  <si>
    <t>C8536</t>
  </si>
  <si>
    <t>C7445</t>
  </si>
  <si>
    <t>C4503</t>
  </si>
  <si>
    <t>C9460</t>
  </si>
  <si>
    <t>C5895</t>
  </si>
  <si>
    <t>C2724</t>
  </si>
  <si>
    <t>C5143</t>
  </si>
  <si>
    <t>C6458</t>
  </si>
  <si>
    <t>C8496</t>
  </si>
  <si>
    <t>C6741</t>
  </si>
  <si>
    <t>C4960</t>
  </si>
  <si>
    <t>C2331</t>
  </si>
  <si>
    <t>C6926</t>
  </si>
  <si>
    <t>C3783</t>
  </si>
  <si>
    <t>C2983</t>
  </si>
  <si>
    <t>C8380</t>
  </si>
  <si>
    <t>C4622</t>
  </si>
  <si>
    <t>C3696</t>
  </si>
  <si>
    <t>C4900</t>
  </si>
  <si>
    <t>C8866</t>
  </si>
  <si>
    <t>C4595</t>
  </si>
  <si>
    <t>C1134</t>
  </si>
  <si>
    <t>C8284</t>
  </si>
  <si>
    <t>C4827</t>
  </si>
  <si>
    <t>C2056</t>
  </si>
  <si>
    <t>C8915</t>
  </si>
  <si>
    <t>C2859</t>
  </si>
  <si>
    <t>C6672</t>
  </si>
  <si>
    <t>C1116</t>
  </si>
  <si>
    <t>C4915</t>
  </si>
  <si>
    <t>C1496</t>
  </si>
  <si>
    <t>C6421</t>
  </si>
  <si>
    <t>C7344</t>
  </si>
  <si>
    <t>C2185</t>
  </si>
  <si>
    <t>C1539</t>
  </si>
  <si>
    <t>C5885</t>
  </si>
  <si>
    <t>C6198</t>
  </si>
  <si>
    <t>C9529</t>
  </si>
  <si>
    <t>C8970</t>
  </si>
  <si>
    <t>C5440</t>
  </si>
  <si>
    <t>C9187</t>
  </si>
  <si>
    <t>C1007</t>
  </si>
  <si>
    <t>C4727</t>
  </si>
  <si>
    <t>C3111</t>
  </si>
  <si>
    <t>C5384</t>
  </si>
  <si>
    <t>C7386</t>
  </si>
  <si>
    <t>C4362</t>
  </si>
  <si>
    <t>C7884</t>
  </si>
  <si>
    <t>C9752</t>
  </si>
  <si>
    <t>C9575</t>
  </si>
  <si>
    <t>C2109</t>
  </si>
  <si>
    <t>C9481</t>
  </si>
  <si>
    <t>C6961</t>
  </si>
  <si>
    <t>C6602</t>
  </si>
  <si>
    <t>C2506</t>
  </si>
  <si>
    <t>C3368</t>
  </si>
  <si>
    <t>C3763</t>
  </si>
  <si>
    <t>C2376</t>
  </si>
  <si>
    <t>C2693</t>
  </si>
  <si>
    <t>C8771</t>
  </si>
  <si>
    <t>C4319</t>
  </si>
  <si>
    <t>C4390</t>
  </si>
  <si>
    <t>C4944</t>
  </si>
  <si>
    <t>C5781</t>
  </si>
  <si>
    <t>C1520</t>
  </si>
  <si>
    <t>C8220</t>
  </si>
  <si>
    <t>C5195</t>
  </si>
  <si>
    <t>C4310</t>
  </si>
  <si>
    <t>C2541</t>
  </si>
  <si>
    <t>C4726</t>
  </si>
  <si>
    <t>C3609</t>
  </si>
  <si>
    <t>C8572</t>
  </si>
  <si>
    <t>C5842</t>
  </si>
  <si>
    <t>C5032</t>
  </si>
  <si>
    <t>C4514</t>
  </si>
  <si>
    <t>C9832</t>
  </si>
  <si>
    <t>C4907</t>
  </si>
  <si>
    <t>C9548</t>
  </si>
  <si>
    <t>C4530</t>
  </si>
  <si>
    <t>C9795</t>
  </si>
  <si>
    <t>C2892</t>
  </si>
  <si>
    <t>C7970</t>
  </si>
  <si>
    <t>C4605</t>
  </si>
  <si>
    <t>C7088</t>
  </si>
  <si>
    <t>C1779</t>
  </si>
  <si>
    <t>C9962</t>
  </si>
  <si>
    <t>C8389</t>
  </si>
  <si>
    <t>C1099</t>
  </si>
  <si>
    <t>C9888</t>
  </si>
  <si>
    <t>C4356</t>
  </si>
  <si>
    <t>C2126</t>
  </si>
  <si>
    <t>C9345</t>
  </si>
  <si>
    <t>C5449</t>
  </si>
  <si>
    <t>C4021</t>
  </si>
  <si>
    <t>C9026</t>
  </si>
  <si>
    <t>C7034</t>
  </si>
  <si>
    <t>C7092</t>
  </si>
  <si>
    <t>C8238</t>
  </si>
  <si>
    <t>C7821</t>
  </si>
  <si>
    <t>C5438</t>
  </si>
  <si>
    <t>C8743</t>
  </si>
  <si>
    <t>C4066</t>
  </si>
  <si>
    <t>C6477</t>
  </si>
  <si>
    <t>C4975</t>
  </si>
  <si>
    <t>C4856</t>
  </si>
  <si>
    <t>C9764</t>
  </si>
  <si>
    <t>C8034</t>
  </si>
  <si>
    <t>C8921</t>
  </si>
  <si>
    <t>C5318</t>
  </si>
  <si>
    <t>C1745</t>
  </si>
  <si>
    <t>C2403</t>
  </si>
  <si>
    <t>C4109</t>
  </si>
  <si>
    <t>C5000</t>
  </si>
  <si>
    <t>C1533</t>
  </si>
  <si>
    <t>C1953</t>
  </si>
  <si>
    <t>C7532</t>
  </si>
  <si>
    <t>C3881</t>
  </si>
  <si>
    <t>C1981</t>
  </si>
  <si>
    <t>C7028</t>
  </si>
  <si>
    <t>C7730</t>
  </si>
  <si>
    <t>C5275</t>
  </si>
  <si>
    <t>C1288</t>
  </si>
  <si>
    <t>C7255</t>
  </si>
  <si>
    <t>C9527</t>
  </si>
  <si>
    <t>C2030</t>
  </si>
  <si>
    <t>C1602</t>
  </si>
  <si>
    <t>C2164</t>
  </si>
  <si>
    <t>C5975</t>
  </si>
  <si>
    <t>C3884</t>
  </si>
  <si>
    <t>C4547</t>
  </si>
  <si>
    <t>C8065</t>
  </si>
  <si>
    <t>C8078</t>
  </si>
  <si>
    <t>C8792</t>
  </si>
  <si>
    <t>C3098</t>
  </si>
  <si>
    <t>C9048</t>
  </si>
  <si>
    <t>C5761</t>
  </si>
  <si>
    <t>C2975</t>
  </si>
  <si>
    <t>C3133</t>
  </si>
  <si>
    <t>C8818</t>
  </si>
  <si>
    <t>C8051</t>
  </si>
  <si>
    <t>C6037</t>
  </si>
  <si>
    <t>C5432</t>
  </si>
  <si>
    <t>C3210</t>
  </si>
  <si>
    <t>C4133</t>
  </si>
  <si>
    <t>C6465</t>
  </si>
  <si>
    <t>C3524</t>
  </si>
  <si>
    <t>C3134</t>
  </si>
  <si>
    <t>C9606</t>
  </si>
  <si>
    <t>C3708</t>
  </si>
  <si>
    <t>C1753</t>
  </si>
  <si>
    <t>C6179</t>
  </si>
  <si>
    <t>C4826</t>
  </si>
  <si>
    <t>C2469</t>
  </si>
  <si>
    <t>C1184</t>
  </si>
  <si>
    <t>C1476</t>
  </si>
  <si>
    <t>C6753</t>
  </si>
  <si>
    <t>C4535</t>
  </si>
  <si>
    <t>C8844</t>
  </si>
  <si>
    <t>C2460</t>
  </si>
  <si>
    <t>C7636</t>
  </si>
  <si>
    <t>C8947</t>
  </si>
  <si>
    <t>C4846</t>
  </si>
  <si>
    <t>C6107</t>
  </si>
  <si>
    <t>C7839</t>
  </si>
  <si>
    <t>C1577</t>
  </si>
  <si>
    <t>C6903</t>
  </si>
  <si>
    <t>C5412</t>
  </si>
  <si>
    <t>C9509</t>
  </si>
  <si>
    <t>C3656</t>
  </si>
  <si>
    <t>C2481</t>
  </si>
  <si>
    <t>C9735</t>
  </si>
  <si>
    <t>C2013</t>
  </si>
  <si>
    <t>C7614</t>
  </si>
  <si>
    <t>C1365</t>
  </si>
  <si>
    <t>C5675</t>
  </si>
  <si>
    <t>C6343</t>
  </si>
  <si>
    <t>C4483</t>
  </si>
  <si>
    <t>C5309</t>
  </si>
  <si>
    <t>C3334</t>
  </si>
  <si>
    <t>C9689</t>
  </si>
  <si>
    <t>C3257</t>
  </si>
  <si>
    <t>C7213</t>
  </si>
  <si>
    <t>C3980</t>
  </si>
  <si>
    <t>C2537</t>
  </si>
  <si>
    <t>C9893</t>
  </si>
  <si>
    <t>C3395</t>
  </si>
  <si>
    <t>C7722</t>
  </si>
  <si>
    <t>C9023</t>
  </si>
  <si>
    <t>C5757</t>
  </si>
  <si>
    <t>C1030</t>
  </si>
  <si>
    <t>C2850</t>
  </si>
  <si>
    <t>C1945</t>
  </si>
  <si>
    <t>C9516</t>
  </si>
  <si>
    <t>C8887</t>
  </si>
  <si>
    <t>C2955</t>
  </si>
  <si>
    <t>C1437</t>
  </si>
  <si>
    <t>C4602</t>
  </si>
  <si>
    <t>C7367</t>
  </si>
  <si>
    <t>C7846</t>
  </si>
  <si>
    <t>C3205</t>
  </si>
  <si>
    <t>C3092</t>
  </si>
  <si>
    <t>C4229</t>
  </si>
  <si>
    <t>C8717</t>
  </si>
  <si>
    <t>C6850</t>
  </si>
  <si>
    <t>C7394</t>
  </si>
  <si>
    <t>C7178</t>
  </si>
  <si>
    <t>C9155</t>
  </si>
  <si>
    <t>C3229</t>
  </si>
  <si>
    <t>C1192</t>
  </si>
  <si>
    <t>C3417</t>
  </si>
  <si>
    <t>C7406</t>
  </si>
  <si>
    <t>C9238</t>
  </si>
  <si>
    <t>C6197</t>
  </si>
  <si>
    <t>C7580</t>
  </si>
  <si>
    <t>C3558</t>
  </si>
  <si>
    <t>C5688</t>
  </si>
  <si>
    <t>C3440</t>
  </si>
  <si>
    <t>C3728</t>
  </si>
  <si>
    <t>C5988</t>
  </si>
  <si>
    <t>C5998</t>
  </si>
  <si>
    <t>C8682</t>
  </si>
  <si>
    <t>C4544</t>
  </si>
  <si>
    <t>C8225</t>
  </si>
  <si>
    <t>C9483</t>
  </si>
  <si>
    <t>C3617</t>
  </si>
  <si>
    <t>C5196</t>
  </si>
  <si>
    <t>C2516</t>
  </si>
  <si>
    <t>C1516</t>
  </si>
  <si>
    <t>C1069</t>
  </si>
  <si>
    <t>C1535</t>
  </si>
  <si>
    <t>C6552</t>
  </si>
  <si>
    <t>C9963</t>
  </si>
  <si>
    <t>C4044</t>
  </si>
  <si>
    <t>C2691</t>
  </si>
  <si>
    <t>C5691</t>
  </si>
  <si>
    <t>C9499</t>
  </si>
  <si>
    <t>C2681</t>
  </si>
  <si>
    <t>C4908</t>
  </si>
  <si>
    <t>C2993</t>
  </si>
  <si>
    <t>C4435</t>
  </si>
  <si>
    <t>C6750</t>
  </si>
  <si>
    <t>C3595</t>
  </si>
  <si>
    <t>C1774</t>
  </si>
  <si>
    <t>C2885</t>
  </si>
  <si>
    <t>C2445</t>
  </si>
  <si>
    <t>C2120</t>
  </si>
  <si>
    <t>C4230</t>
  </si>
  <si>
    <t>C5647</t>
  </si>
  <si>
    <t>C9426</t>
  </si>
  <si>
    <t>C6955</t>
  </si>
  <si>
    <t>C1796</t>
  </si>
  <si>
    <t>C6975</t>
  </si>
  <si>
    <t>C6790</t>
  </si>
  <si>
    <t>C2953</t>
  </si>
  <si>
    <t>C6693</t>
  </si>
  <si>
    <t>C6040</t>
  </si>
  <si>
    <t>C1622</t>
  </si>
  <si>
    <t>C3687</t>
  </si>
  <si>
    <t>C4491</t>
  </si>
  <si>
    <t>C4951</t>
  </si>
  <si>
    <t>C6671</t>
  </si>
  <si>
    <t>C9668</t>
  </si>
  <si>
    <t>C9435</t>
  </si>
  <si>
    <t>C6099</t>
  </si>
  <si>
    <t>C8314</t>
  </si>
  <si>
    <t>C7915</t>
  </si>
  <si>
    <t>C7763</t>
  </si>
  <si>
    <t>C3780</t>
  </si>
  <si>
    <t>C1600</t>
  </si>
  <si>
    <t>C8745</t>
  </si>
  <si>
    <t>C1854</t>
  </si>
  <si>
    <t>C1902</t>
  </si>
  <si>
    <t>C3447</t>
  </si>
  <si>
    <t>C2291</t>
  </si>
  <si>
    <t>C6244</t>
  </si>
  <si>
    <t>C4358</t>
  </si>
  <si>
    <t>C2253</t>
  </si>
  <si>
    <t>C5342</t>
  </si>
  <si>
    <t>C4414</t>
  </si>
  <si>
    <t>C9251</t>
  </si>
  <si>
    <t>C8058</t>
  </si>
  <si>
    <t>C6976</t>
  </si>
  <si>
    <t>C3644</t>
  </si>
  <si>
    <t>C8951</t>
  </si>
  <si>
    <t>C4953</t>
  </si>
  <si>
    <t>C6919</t>
  </si>
  <si>
    <t>C1821</t>
  </si>
  <si>
    <t>C3731</t>
  </si>
  <si>
    <t>C5712</t>
  </si>
  <si>
    <t>C8005</t>
  </si>
  <si>
    <t>C4251</t>
  </si>
  <si>
    <t>C3661</t>
  </si>
  <si>
    <t>C6186</t>
  </si>
  <si>
    <t>C1544</t>
  </si>
  <si>
    <t>C4210</t>
  </si>
  <si>
    <t>C2233</t>
  </si>
  <si>
    <t>C6860</t>
  </si>
  <si>
    <t>C4626</t>
  </si>
  <si>
    <t>C9862</t>
  </si>
  <si>
    <t>C3063</t>
  </si>
  <si>
    <t>C1445</t>
  </si>
  <si>
    <t>C6871</t>
  </si>
  <si>
    <t>C5385</t>
  </si>
  <si>
    <t>C6494</t>
  </si>
  <si>
    <t>C1336</t>
  </si>
  <si>
    <t>C8373</t>
  </si>
  <si>
    <t>C9598</t>
  </si>
  <si>
    <t>C4204</t>
  </si>
  <si>
    <t>C5808</t>
  </si>
  <si>
    <t>C5357</t>
  </si>
  <si>
    <t>C1727</t>
  </si>
  <si>
    <t>C4556</t>
  </si>
  <si>
    <t>C5490</t>
  </si>
  <si>
    <t>C3299</t>
  </si>
  <si>
    <t>C8540</t>
  </si>
  <si>
    <t>C5798</t>
  </si>
  <si>
    <t>C4409</t>
  </si>
  <si>
    <t>C2091</t>
  </si>
  <si>
    <t>C4478</t>
  </si>
  <si>
    <t>C7313</t>
  </si>
  <si>
    <t>C7808</t>
  </si>
  <si>
    <t>C1431</t>
  </si>
  <si>
    <t>C4237</t>
  </si>
  <si>
    <t>C7206</t>
  </si>
  <si>
    <t>C7467</t>
  </si>
  <si>
    <t>C1287</t>
  </si>
  <si>
    <t>C6995</t>
  </si>
  <si>
    <t>C6047</t>
  </si>
  <si>
    <t>C7472</t>
  </si>
  <si>
    <t>C4013</t>
  </si>
  <si>
    <t>C4239</t>
  </si>
  <si>
    <t>C3288</t>
  </si>
  <si>
    <t>C7365</t>
  </si>
  <si>
    <t>C7234</t>
  </si>
  <si>
    <t>C8286</t>
  </si>
  <si>
    <t>C3713</t>
  </si>
  <si>
    <t>C5416</t>
  </si>
  <si>
    <t>C3811</t>
  </si>
  <si>
    <t>C2649</t>
  </si>
  <si>
    <t>C9520</t>
  </si>
  <si>
    <t>C1565</t>
  </si>
  <si>
    <t>C5619</t>
  </si>
  <si>
    <t>C6392</t>
  </si>
  <si>
    <t>C8521</t>
  </si>
  <si>
    <t>Female</t>
  </si>
  <si>
    <t>Male</t>
  </si>
  <si>
    <t>PhD</t>
  </si>
  <si>
    <t>High School</t>
  </si>
  <si>
    <t>Master</t>
  </si>
  <si>
    <t>Bachelor</t>
  </si>
  <si>
    <t>Other</t>
  </si>
  <si>
    <t>Married</t>
  </si>
  <si>
    <t>Widowed</t>
  </si>
  <si>
    <t>Divorced</t>
  </si>
  <si>
    <t>Single</t>
  </si>
  <si>
    <t>East</t>
  </si>
  <si>
    <t>South</t>
  </si>
  <si>
    <t>North</t>
  </si>
  <si>
    <t>West</t>
  </si>
  <si>
    <t>Online</t>
  </si>
  <si>
    <t>In-Store</t>
  </si>
  <si>
    <t>ATM</t>
  </si>
  <si>
    <t>Transfer</t>
  </si>
  <si>
    <t>POS</t>
  </si>
  <si>
    <t>Desktop</t>
  </si>
  <si>
    <t>Mobile</t>
  </si>
  <si>
    <t>Variable</t>
  </si>
  <si>
    <t>Count</t>
  </si>
  <si>
    <t>Mean</t>
  </si>
  <si>
    <t>Median</t>
  </si>
  <si>
    <t>StdDev</t>
  </si>
  <si>
    <t>FRAUD CASES</t>
  </si>
  <si>
    <t>Column</t>
  </si>
  <si>
    <t>Std Dev</t>
  </si>
  <si>
    <t>Min</t>
  </si>
  <si>
    <t>Max</t>
  </si>
  <si>
    <t>NON FRAUD CASES</t>
  </si>
  <si>
    <t>iqr</t>
  </si>
  <si>
    <t>ll</t>
  </si>
  <si>
    <t>ul</t>
  </si>
  <si>
    <t>Standardization(Transac_amt)</t>
  </si>
  <si>
    <t>Outliers</t>
  </si>
  <si>
    <t>Standardization(Loan_amt)</t>
  </si>
  <si>
    <t>Standardization(personal_income)</t>
  </si>
  <si>
    <t>Standardization(family_income)</t>
  </si>
  <si>
    <t>Fraud_grp</t>
  </si>
  <si>
    <t>Row Labels</t>
  </si>
  <si>
    <t>Grand Total</t>
  </si>
  <si>
    <t>Count of transaction_type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</si>
  <si>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</si>
  <si>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</si>
  <si>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</si>
  <si>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</si>
  <si>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</si>
  <si>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</si>
  <si>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</si>
  <si>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</si>
  <si>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</si>
  <si>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</si>
  <si>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</si>
  <si>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</si>
  <si>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</si>
  <si>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</si>
  <si>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</si>
  <si>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</si>
  <si>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</si>
  <si>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</si>
  <si>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</si>
  <si>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</si>
  <si>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</si>
  <si>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</si>
  <si>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</si>
  <si>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</si>
  <si>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Q1</t>
  </si>
  <si>
    <t>Q3</t>
  </si>
  <si>
    <t>IQR</t>
  </si>
  <si>
    <t>Lower</t>
  </si>
  <si>
    <t>Upper</t>
  </si>
  <si>
    <t>OutlierCount</t>
  </si>
  <si>
    <t>Missing</t>
  </si>
  <si>
    <t>Fraud/Not_Fraud</t>
  </si>
  <si>
    <t>Not_Fraud</t>
  </si>
  <si>
    <t>Fraud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</si>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</sst>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9.6"/>
      <color theme="1"/>
      <name val="Courier New"/>
      <family val="3"/>
    </font>
    <font>
      <i/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4" xfId="0" applyBorder="1"/>
    <xf numFmtId="0" fontId="4" fillId="0" borderId="5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5" xfId="0" applyFont="1" applyBorder="1" applyAlignment="1">
      <alignment horizontal="centerContinuous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0" fillId="4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top"/>
    </xf>
    <xf numFmtId="0" fontId="4" fillId="3" borderId="5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0" xfId="0" applyFont="1" applyFill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[Fraud_Analysis.xlsx]pivot 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Fraud Case Count by Device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'pivot table'!$A$4:$A$8</c:f>
              <c:strCache>
                <c:ptCount val="4"/>
                <c:pt idx="0">
                  <c:v>ATM</c:v>
                </c:pt>
                <c:pt idx="1">
                  <c:v>In-Store</c:v>
                </c:pt>
                <c:pt idx="2">
                  <c:v>Online</c:v>
                </c:pt>
                <c:pt idx="3">
                  <c:v>Transfer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129</c:v>
                </c:pt>
                <c:pt idx="1">
                  <c:v>118</c:v>
                </c:pt>
                <c:pt idx="2">
                  <c:v>122</c:v>
                </c:pt>
                <c:pt idx="3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3-4A75-B54B-85B9B2AD9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15100383"/>
        <c:axId val="315110943"/>
        <c:axId val="0"/>
      </c:bar3DChart>
      <c:catAx>
        <c:axId val="31510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/>
                  <a:t>Device Type</a:t>
                </a:r>
                <a:endParaRPr lang="en-IN" i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10943"/>
        <c:crosses val="autoZero"/>
        <c:auto val="1"/>
        <c:lblAlgn val="ctr"/>
        <c:lblOffset val="100"/>
        <c:noMultiLvlLbl val="0"/>
      </c:catAx>
      <c:valAx>
        <c:axId val="31511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/>
                  <a:t>Count of Fraud Cases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0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Behavioural Patterns of Fraud: Spending vs Transaction Frequency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6615008692913097"/>
          <c:y val="2.4598930895598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873366670182479E-2"/>
          <c:y val="0.20693822581134214"/>
          <c:w val="0.87681222190061647"/>
          <c:h val="0.68417390161813607"/>
        </c:manualLayout>
      </c:layout>
      <c:scatterChart>
        <c:scatterStyle val="lineMarker"/>
        <c:varyColors val="0"/>
        <c:ser>
          <c:idx val="1"/>
          <c:order val="0"/>
          <c:tx>
            <c:strRef>
              <c:f>Numerical_data!$Q$2</c:f>
              <c:strCache>
                <c:ptCount val="1"/>
                <c:pt idx="0">
                  <c:v>Not_Fraud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Numerical_data!$F$2:$F$255</c:f>
              <c:numCache>
                <c:formatCode>General</c:formatCode>
                <c:ptCount val="254"/>
                <c:pt idx="0">
                  <c:v>187</c:v>
                </c:pt>
                <c:pt idx="1">
                  <c:v>156</c:v>
                </c:pt>
                <c:pt idx="2">
                  <c:v>173</c:v>
                </c:pt>
                <c:pt idx="3">
                  <c:v>274</c:v>
                </c:pt>
                <c:pt idx="4">
                  <c:v>229</c:v>
                </c:pt>
                <c:pt idx="5">
                  <c:v>89</c:v>
                </c:pt>
                <c:pt idx="6">
                  <c:v>131</c:v>
                </c:pt>
                <c:pt idx="7">
                  <c:v>219</c:v>
                </c:pt>
                <c:pt idx="8">
                  <c:v>283</c:v>
                </c:pt>
                <c:pt idx="9">
                  <c:v>52</c:v>
                </c:pt>
                <c:pt idx="10">
                  <c:v>227</c:v>
                </c:pt>
                <c:pt idx="11">
                  <c:v>106</c:v>
                </c:pt>
                <c:pt idx="12">
                  <c:v>131</c:v>
                </c:pt>
                <c:pt idx="13">
                  <c:v>273</c:v>
                </c:pt>
                <c:pt idx="14">
                  <c:v>54</c:v>
                </c:pt>
                <c:pt idx="15">
                  <c:v>67</c:v>
                </c:pt>
                <c:pt idx="16">
                  <c:v>148</c:v>
                </c:pt>
                <c:pt idx="17">
                  <c:v>142</c:v>
                </c:pt>
                <c:pt idx="18">
                  <c:v>6</c:v>
                </c:pt>
                <c:pt idx="19">
                  <c:v>23</c:v>
                </c:pt>
                <c:pt idx="20">
                  <c:v>254</c:v>
                </c:pt>
                <c:pt idx="21">
                  <c:v>206</c:v>
                </c:pt>
                <c:pt idx="22">
                  <c:v>287</c:v>
                </c:pt>
                <c:pt idx="23">
                  <c:v>107</c:v>
                </c:pt>
                <c:pt idx="24">
                  <c:v>191</c:v>
                </c:pt>
                <c:pt idx="25">
                  <c:v>23</c:v>
                </c:pt>
                <c:pt idx="26">
                  <c:v>43</c:v>
                </c:pt>
                <c:pt idx="27">
                  <c:v>21</c:v>
                </c:pt>
                <c:pt idx="28">
                  <c:v>47</c:v>
                </c:pt>
                <c:pt idx="29">
                  <c:v>33</c:v>
                </c:pt>
                <c:pt idx="30">
                  <c:v>110</c:v>
                </c:pt>
                <c:pt idx="31">
                  <c:v>147</c:v>
                </c:pt>
                <c:pt idx="32">
                  <c:v>164</c:v>
                </c:pt>
                <c:pt idx="33">
                  <c:v>123</c:v>
                </c:pt>
                <c:pt idx="34">
                  <c:v>65</c:v>
                </c:pt>
                <c:pt idx="35">
                  <c:v>217</c:v>
                </c:pt>
                <c:pt idx="36">
                  <c:v>298</c:v>
                </c:pt>
                <c:pt idx="37">
                  <c:v>57</c:v>
                </c:pt>
                <c:pt idx="38">
                  <c:v>268</c:v>
                </c:pt>
                <c:pt idx="39">
                  <c:v>111</c:v>
                </c:pt>
                <c:pt idx="40">
                  <c:v>61</c:v>
                </c:pt>
                <c:pt idx="41">
                  <c:v>145</c:v>
                </c:pt>
                <c:pt idx="42">
                  <c:v>33</c:v>
                </c:pt>
                <c:pt idx="43">
                  <c:v>73</c:v>
                </c:pt>
                <c:pt idx="44">
                  <c:v>5</c:v>
                </c:pt>
                <c:pt idx="45">
                  <c:v>59</c:v>
                </c:pt>
                <c:pt idx="46">
                  <c:v>19</c:v>
                </c:pt>
                <c:pt idx="47">
                  <c:v>184</c:v>
                </c:pt>
                <c:pt idx="48">
                  <c:v>44</c:v>
                </c:pt>
                <c:pt idx="49">
                  <c:v>17</c:v>
                </c:pt>
                <c:pt idx="50">
                  <c:v>41</c:v>
                </c:pt>
                <c:pt idx="51">
                  <c:v>151</c:v>
                </c:pt>
                <c:pt idx="52">
                  <c:v>227</c:v>
                </c:pt>
                <c:pt idx="53">
                  <c:v>17</c:v>
                </c:pt>
                <c:pt idx="54">
                  <c:v>178</c:v>
                </c:pt>
                <c:pt idx="55">
                  <c:v>218</c:v>
                </c:pt>
                <c:pt idx="56">
                  <c:v>23</c:v>
                </c:pt>
                <c:pt idx="57">
                  <c:v>201</c:v>
                </c:pt>
                <c:pt idx="58">
                  <c:v>254</c:v>
                </c:pt>
                <c:pt idx="59">
                  <c:v>199</c:v>
                </c:pt>
                <c:pt idx="60">
                  <c:v>265</c:v>
                </c:pt>
                <c:pt idx="61">
                  <c:v>108</c:v>
                </c:pt>
                <c:pt idx="62">
                  <c:v>219</c:v>
                </c:pt>
                <c:pt idx="63">
                  <c:v>293</c:v>
                </c:pt>
                <c:pt idx="64">
                  <c:v>61</c:v>
                </c:pt>
                <c:pt idx="65">
                  <c:v>287</c:v>
                </c:pt>
                <c:pt idx="66">
                  <c:v>270</c:v>
                </c:pt>
                <c:pt idx="67">
                  <c:v>223</c:v>
                </c:pt>
                <c:pt idx="68">
                  <c:v>107</c:v>
                </c:pt>
                <c:pt idx="69">
                  <c:v>88</c:v>
                </c:pt>
                <c:pt idx="70">
                  <c:v>203</c:v>
                </c:pt>
                <c:pt idx="71">
                  <c:v>211</c:v>
                </c:pt>
                <c:pt idx="72">
                  <c:v>1</c:v>
                </c:pt>
                <c:pt idx="73">
                  <c:v>199</c:v>
                </c:pt>
                <c:pt idx="74">
                  <c:v>244</c:v>
                </c:pt>
                <c:pt idx="75">
                  <c:v>155</c:v>
                </c:pt>
                <c:pt idx="76">
                  <c:v>67</c:v>
                </c:pt>
                <c:pt idx="77">
                  <c:v>230</c:v>
                </c:pt>
                <c:pt idx="78">
                  <c:v>260</c:v>
                </c:pt>
                <c:pt idx="79">
                  <c:v>184</c:v>
                </c:pt>
                <c:pt idx="80">
                  <c:v>297</c:v>
                </c:pt>
                <c:pt idx="81">
                  <c:v>121</c:v>
                </c:pt>
                <c:pt idx="82">
                  <c:v>213</c:v>
                </c:pt>
                <c:pt idx="83">
                  <c:v>48</c:v>
                </c:pt>
                <c:pt idx="84">
                  <c:v>71</c:v>
                </c:pt>
                <c:pt idx="85">
                  <c:v>29</c:v>
                </c:pt>
                <c:pt idx="86">
                  <c:v>89</c:v>
                </c:pt>
                <c:pt idx="87">
                  <c:v>46</c:v>
                </c:pt>
                <c:pt idx="88">
                  <c:v>11</c:v>
                </c:pt>
                <c:pt idx="89">
                  <c:v>62</c:v>
                </c:pt>
                <c:pt idx="90">
                  <c:v>32</c:v>
                </c:pt>
                <c:pt idx="91">
                  <c:v>248</c:v>
                </c:pt>
                <c:pt idx="92">
                  <c:v>241</c:v>
                </c:pt>
                <c:pt idx="93">
                  <c:v>192</c:v>
                </c:pt>
                <c:pt idx="94">
                  <c:v>192</c:v>
                </c:pt>
                <c:pt idx="95">
                  <c:v>181</c:v>
                </c:pt>
                <c:pt idx="96">
                  <c:v>173</c:v>
                </c:pt>
                <c:pt idx="97">
                  <c:v>234</c:v>
                </c:pt>
                <c:pt idx="98">
                  <c:v>80</c:v>
                </c:pt>
                <c:pt idx="99">
                  <c:v>156</c:v>
                </c:pt>
                <c:pt idx="100">
                  <c:v>88</c:v>
                </c:pt>
                <c:pt idx="101">
                  <c:v>118</c:v>
                </c:pt>
                <c:pt idx="102">
                  <c:v>270</c:v>
                </c:pt>
                <c:pt idx="103">
                  <c:v>287</c:v>
                </c:pt>
                <c:pt idx="104">
                  <c:v>171</c:v>
                </c:pt>
                <c:pt idx="105">
                  <c:v>124</c:v>
                </c:pt>
                <c:pt idx="106">
                  <c:v>56</c:v>
                </c:pt>
                <c:pt idx="107">
                  <c:v>235</c:v>
                </c:pt>
                <c:pt idx="108">
                  <c:v>176</c:v>
                </c:pt>
                <c:pt idx="109">
                  <c:v>59</c:v>
                </c:pt>
                <c:pt idx="110">
                  <c:v>297</c:v>
                </c:pt>
                <c:pt idx="111">
                  <c:v>263</c:v>
                </c:pt>
                <c:pt idx="112">
                  <c:v>68</c:v>
                </c:pt>
                <c:pt idx="113">
                  <c:v>226</c:v>
                </c:pt>
                <c:pt idx="114">
                  <c:v>42</c:v>
                </c:pt>
                <c:pt idx="115">
                  <c:v>239</c:v>
                </c:pt>
                <c:pt idx="116">
                  <c:v>232</c:v>
                </c:pt>
                <c:pt idx="117">
                  <c:v>278</c:v>
                </c:pt>
                <c:pt idx="118">
                  <c:v>128</c:v>
                </c:pt>
                <c:pt idx="119">
                  <c:v>110</c:v>
                </c:pt>
                <c:pt idx="120">
                  <c:v>85</c:v>
                </c:pt>
                <c:pt idx="121">
                  <c:v>272</c:v>
                </c:pt>
                <c:pt idx="122">
                  <c:v>21</c:v>
                </c:pt>
                <c:pt idx="123">
                  <c:v>16</c:v>
                </c:pt>
                <c:pt idx="124">
                  <c:v>197</c:v>
                </c:pt>
                <c:pt idx="125">
                  <c:v>2</c:v>
                </c:pt>
                <c:pt idx="126">
                  <c:v>7</c:v>
                </c:pt>
                <c:pt idx="127">
                  <c:v>57</c:v>
                </c:pt>
                <c:pt idx="128">
                  <c:v>274</c:v>
                </c:pt>
                <c:pt idx="129">
                  <c:v>56</c:v>
                </c:pt>
                <c:pt idx="130">
                  <c:v>11</c:v>
                </c:pt>
                <c:pt idx="131">
                  <c:v>80</c:v>
                </c:pt>
                <c:pt idx="132">
                  <c:v>144</c:v>
                </c:pt>
                <c:pt idx="133">
                  <c:v>285</c:v>
                </c:pt>
                <c:pt idx="134">
                  <c:v>125</c:v>
                </c:pt>
                <c:pt idx="135">
                  <c:v>282</c:v>
                </c:pt>
                <c:pt idx="136">
                  <c:v>64</c:v>
                </c:pt>
                <c:pt idx="137">
                  <c:v>273</c:v>
                </c:pt>
                <c:pt idx="138">
                  <c:v>35</c:v>
                </c:pt>
                <c:pt idx="139">
                  <c:v>190</c:v>
                </c:pt>
                <c:pt idx="140">
                  <c:v>65</c:v>
                </c:pt>
                <c:pt idx="141">
                  <c:v>257</c:v>
                </c:pt>
                <c:pt idx="142">
                  <c:v>21</c:v>
                </c:pt>
                <c:pt idx="143">
                  <c:v>76</c:v>
                </c:pt>
                <c:pt idx="144">
                  <c:v>187</c:v>
                </c:pt>
                <c:pt idx="145">
                  <c:v>60</c:v>
                </c:pt>
                <c:pt idx="146">
                  <c:v>123</c:v>
                </c:pt>
                <c:pt idx="147">
                  <c:v>158</c:v>
                </c:pt>
                <c:pt idx="148">
                  <c:v>31</c:v>
                </c:pt>
                <c:pt idx="149">
                  <c:v>25</c:v>
                </c:pt>
                <c:pt idx="150">
                  <c:v>216</c:v>
                </c:pt>
                <c:pt idx="151">
                  <c:v>50</c:v>
                </c:pt>
                <c:pt idx="152">
                  <c:v>122</c:v>
                </c:pt>
                <c:pt idx="153">
                  <c:v>137</c:v>
                </c:pt>
                <c:pt idx="154">
                  <c:v>139</c:v>
                </c:pt>
                <c:pt idx="155">
                  <c:v>270</c:v>
                </c:pt>
                <c:pt idx="156">
                  <c:v>249</c:v>
                </c:pt>
                <c:pt idx="157">
                  <c:v>160</c:v>
                </c:pt>
                <c:pt idx="158">
                  <c:v>54</c:v>
                </c:pt>
                <c:pt idx="159">
                  <c:v>149</c:v>
                </c:pt>
                <c:pt idx="160">
                  <c:v>132</c:v>
                </c:pt>
                <c:pt idx="161">
                  <c:v>154</c:v>
                </c:pt>
                <c:pt idx="162">
                  <c:v>31</c:v>
                </c:pt>
                <c:pt idx="163">
                  <c:v>56</c:v>
                </c:pt>
                <c:pt idx="164">
                  <c:v>183</c:v>
                </c:pt>
                <c:pt idx="165">
                  <c:v>58</c:v>
                </c:pt>
                <c:pt idx="166">
                  <c:v>273</c:v>
                </c:pt>
                <c:pt idx="167">
                  <c:v>205</c:v>
                </c:pt>
                <c:pt idx="168">
                  <c:v>27</c:v>
                </c:pt>
                <c:pt idx="169">
                  <c:v>189</c:v>
                </c:pt>
                <c:pt idx="170">
                  <c:v>94</c:v>
                </c:pt>
                <c:pt idx="171">
                  <c:v>238</c:v>
                </c:pt>
                <c:pt idx="172">
                  <c:v>9</c:v>
                </c:pt>
                <c:pt idx="173">
                  <c:v>90</c:v>
                </c:pt>
                <c:pt idx="174">
                  <c:v>80</c:v>
                </c:pt>
                <c:pt idx="175">
                  <c:v>196</c:v>
                </c:pt>
                <c:pt idx="176">
                  <c:v>188</c:v>
                </c:pt>
                <c:pt idx="177">
                  <c:v>259</c:v>
                </c:pt>
                <c:pt idx="178">
                  <c:v>46</c:v>
                </c:pt>
                <c:pt idx="179">
                  <c:v>257</c:v>
                </c:pt>
                <c:pt idx="180">
                  <c:v>16</c:v>
                </c:pt>
                <c:pt idx="181">
                  <c:v>111</c:v>
                </c:pt>
                <c:pt idx="182">
                  <c:v>208</c:v>
                </c:pt>
                <c:pt idx="183">
                  <c:v>122</c:v>
                </c:pt>
                <c:pt idx="184">
                  <c:v>69</c:v>
                </c:pt>
                <c:pt idx="185">
                  <c:v>125</c:v>
                </c:pt>
                <c:pt idx="186">
                  <c:v>45</c:v>
                </c:pt>
                <c:pt idx="187">
                  <c:v>233</c:v>
                </c:pt>
                <c:pt idx="188">
                  <c:v>65</c:v>
                </c:pt>
                <c:pt idx="189">
                  <c:v>106</c:v>
                </c:pt>
                <c:pt idx="190">
                  <c:v>237</c:v>
                </c:pt>
                <c:pt idx="191">
                  <c:v>135</c:v>
                </c:pt>
                <c:pt idx="192">
                  <c:v>281</c:v>
                </c:pt>
                <c:pt idx="193">
                  <c:v>258</c:v>
                </c:pt>
                <c:pt idx="194">
                  <c:v>85</c:v>
                </c:pt>
                <c:pt idx="195">
                  <c:v>268</c:v>
                </c:pt>
                <c:pt idx="196">
                  <c:v>186</c:v>
                </c:pt>
                <c:pt idx="197">
                  <c:v>169</c:v>
                </c:pt>
                <c:pt idx="198">
                  <c:v>10</c:v>
                </c:pt>
                <c:pt idx="199">
                  <c:v>1</c:v>
                </c:pt>
                <c:pt idx="200">
                  <c:v>166</c:v>
                </c:pt>
                <c:pt idx="201">
                  <c:v>31</c:v>
                </c:pt>
                <c:pt idx="202">
                  <c:v>87</c:v>
                </c:pt>
                <c:pt idx="203">
                  <c:v>240</c:v>
                </c:pt>
                <c:pt idx="204">
                  <c:v>103</c:v>
                </c:pt>
                <c:pt idx="205">
                  <c:v>258</c:v>
                </c:pt>
                <c:pt idx="206">
                  <c:v>63</c:v>
                </c:pt>
                <c:pt idx="207">
                  <c:v>214</c:v>
                </c:pt>
                <c:pt idx="208">
                  <c:v>292</c:v>
                </c:pt>
                <c:pt idx="209">
                  <c:v>70</c:v>
                </c:pt>
                <c:pt idx="210">
                  <c:v>168</c:v>
                </c:pt>
                <c:pt idx="211">
                  <c:v>179</c:v>
                </c:pt>
                <c:pt idx="212">
                  <c:v>231</c:v>
                </c:pt>
                <c:pt idx="213">
                  <c:v>13</c:v>
                </c:pt>
                <c:pt idx="214">
                  <c:v>275</c:v>
                </c:pt>
                <c:pt idx="215">
                  <c:v>269</c:v>
                </c:pt>
                <c:pt idx="216">
                  <c:v>266</c:v>
                </c:pt>
                <c:pt idx="217">
                  <c:v>33</c:v>
                </c:pt>
                <c:pt idx="218">
                  <c:v>207</c:v>
                </c:pt>
                <c:pt idx="219">
                  <c:v>259</c:v>
                </c:pt>
                <c:pt idx="220">
                  <c:v>265</c:v>
                </c:pt>
                <c:pt idx="221">
                  <c:v>205</c:v>
                </c:pt>
                <c:pt idx="222">
                  <c:v>206</c:v>
                </c:pt>
                <c:pt idx="223">
                  <c:v>59</c:v>
                </c:pt>
                <c:pt idx="224">
                  <c:v>125</c:v>
                </c:pt>
                <c:pt idx="225">
                  <c:v>31</c:v>
                </c:pt>
                <c:pt idx="226">
                  <c:v>247</c:v>
                </c:pt>
                <c:pt idx="227">
                  <c:v>159</c:v>
                </c:pt>
                <c:pt idx="228">
                  <c:v>59</c:v>
                </c:pt>
                <c:pt idx="229">
                  <c:v>48</c:v>
                </c:pt>
                <c:pt idx="230">
                  <c:v>283</c:v>
                </c:pt>
                <c:pt idx="231">
                  <c:v>131</c:v>
                </c:pt>
                <c:pt idx="232">
                  <c:v>150</c:v>
                </c:pt>
                <c:pt idx="233">
                  <c:v>150</c:v>
                </c:pt>
                <c:pt idx="234">
                  <c:v>151</c:v>
                </c:pt>
                <c:pt idx="235">
                  <c:v>52</c:v>
                </c:pt>
                <c:pt idx="236">
                  <c:v>275</c:v>
                </c:pt>
                <c:pt idx="237">
                  <c:v>282</c:v>
                </c:pt>
                <c:pt idx="238">
                  <c:v>46</c:v>
                </c:pt>
                <c:pt idx="239">
                  <c:v>264</c:v>
                </c:pt>
                <c:pt idx="240">
                  <c:v>129</c:v>
                </c:pt>
                <c:pt idx="241">
                  <c:v>115</c:v>
                </c:pt>
                <c:pt idx="242">
                  <c:v>158</c:v>
                </c:pt>
                <c:pt idx="243">
                  <c:v>91</c:v>
                </c:pt>
                <c:pt idx="244">
                  <c:v>275</c:v>
                </c:pt>
                <c:pt idx="245">
                  <c:v>223</c:v>
                </c:pt>
                <c:pt idx="246">
                  <c:v>146</c:v>
                </c:pt>
                <c:pt idx="247">
                  <c:v>55</c:v>
                </c:pt>
                <c:pt idx="248">
                  <c:v>261</c:v>
                </c:pt>
                <c:pt idx="249">
                  <c:v>178</c:v>
                </c:pt>
                <c:pt idx="250">
                  <c:v>109</c:v>
                </c:pt>
                <c:pt idx="251">
                  <c:v>10</c:v>
                </c:pt>
                <c:pt idx="252">
                  <c:v>292</c:v>
                </c:pt>
                <c:pt idx="253">
                  <c:v>8</c:v>
                </c:pt>
              </c:numCache>
            </c:numRef>
          </c:xVal>
          <c:yVal>
            <c:numRef>
              <c:f>Numerical_data!$G$2:$G$255</c:f>
              <c:numCache>
                <c:formatCode>General</c:formatCode>
                <c:ptCount val="254"/>
                <c:pt idx="0">
                  <c:v>14.98</c:v>
                </c:pt>
                <c:pt idx="1">
                  <c:v>26.74</c:v>
                </c:pt>
                <c:pt idx="2">
                  <c:v>28.23</c:v>
                </c:pt>
                <c:pt idx="3">
                  <c:v>36.49</c:v>
                </c:pt>
                <c:pt idx="4">
                  <c:v>42.75</c:v>
                </c:pt>
                <c:pt idx="5">
                  <c:v>44.45</c:v>
                </c:pt>
                <c:pt idx="6">
                  <c:v>71.58</c:v>
                </c:pt>
                <c:pt idx="7">
                  <c:v>91.8</c:v>
                </c:pt>
                <c:pt idx="8">
                  <c:v>102.29</c:v>
                </c:pt>
                <c:pt idx="9">
                  <c:v>106.85</c:v>
                </c:pt>
                <c:pt idx="10">
                  <c:v>107.39</c:v>
                </c:pt>
                <c:pt idx="11">
                  <c:v>112.1</c:v>
                </c:pt>
                <c:pt idx="12">
                  <c:v>115.1</c:v>
                </c:pt>
                <c:pt idx="13">
                  <c:v>145.29</c:v>
                </c:pt>
                <c:pt idx="14">
                  <c:v>151.38</c:v>
                </c:pt>
                <c:pt idx="15">
                  <c:v>161.30000000000001</c:v>
                </c:pt>
                <c:pt idx="16">
                  <c:v>163.78</c:v>
                </c:pt>
                <c:pt idx="17">
                  <c:v>170.98</c:v>
                </c:pt>
                <c:pt idx="18">
                  <c:v>180.15</c:v>
                </c:pt>
                <c:pt idx="19">
                  <c:v>185.1</c:v>
                </c:pt>
                <c:pt idx="20">
                  <c:v>187.46</c:v>
                </c:pt>
                <c:pt idx="21">
                  <c:v>190.21</c:v>
                </c:pt>
                <c:pt idx="22">
                  <c:v>211.07</c:v>
                </c:pt>
                <c:pt idx="23">
                  <c:v>213.31</c:v>
                </c:pt>
                <c:pt idx="24">
                  <c:v>215.91</c:v>
                </c:pt>
                <c:pt idx="25">
                  <c:v>225.94</c:v>
                </c:pt>
                <c:pt idx="26">
                  <c:v>231.9</c:v>
                </c:pt>
                <c:pt idx="27">
                  <c:v>247.35</c:v>
                </c:pt>
                <c:pt idx="28">
                  <c:v>256.52999999999997</c:v>
                </c:pt>
                <c:pt idx="29">
                  <c:v>258.79000000000002</c:v>
                </c:pt>
                <c:pt idx="30">
                  <c:v>263.22000000000003</c:v>
                </c:pt>
                <c:pt idx="31">
                  <c:v>270.81</c:v>
                </c:pt>
                <c:pt idx="32">
                  <c:v>271.19</c:v>
                </c:pt>
                <c:pt idx="33">
                  <c:v>276</c:v>
                </c:pt>
                <c:pt idx="34">
                  <c:v>277.10000000000002</c:v>
                </c:pt>
                <c:pt idx="35">
                  <c:v>311.7</c:v>
                </c:pt>
                <c:pt idx="36">
                  <c:v>314.77999999999997</c:v>
                </c:pt>
                <c:pt idx="37">
                  <c:v>328.36</c:v>
                </c:pt>
                <c:pt idx="38">
                  <c:v>333.08</c:v>
                </c:pt>
                <c:pt idx="39">
                  <c:v>340.66</c:v>
                </c:pt>
                <c:pt idx="40">
                  <c:v>347.91</c:v>
                </c:pt>
                <c:pt idx="41">
                  <c:v>350.76</c:v>
                </c:pt>
                <c:pt idx="42">
                  <c:v>364.93</c:v>
                </c:pt>
                <c:pt idx="43">
                  <c:v>382.23</c:v>
                </c:pt>
                <c:pt idx="44">
                  <c:v>382.27</c:v>
                </c:pt>
                <c:pt idx="45">
                  <c:v>383.53</c:v>
                </c:pt>
                <c:pt idx="46">
                  <c:v>422.38</c:v>
                </c:pt>
                <c:pt idx="47">
                  <c:v>433.68</c:v>
                </c:pt>
                <c:pt idx="48">
                  <c:v>436.26</c:v>
                </c:pt>
                <c:pt idx="49">
                  <c:v>448.57</c:v>
                </c:pt>
                <c:pt idx="50">
                  <c:v>458.77</c:v>
                </c:pt>
                <c:pt idx="51">
                  <c:v>461.31</c:v>
                </c:pt>
                <c:pt idx="52">
                  <c:v>465.15</c:v>
                </c:pt>
                <c:pt idx="53">
                  <c:v>469.69</c:v>
                </c:pt>
                <c:pt idx="54">
                  <c:v>485.32</c:v>
                </c:pt>
                <c:pt idx="55">
                  <c:v>530.59</c:v>
                </c:pt>
                <c:pt idx="56">
                  <c:v>532.34</c:v>
                </c:pt>
                <c:pt idx="57">
                  <c:v>534</c:v>
                </c:pt>
                <c:pt idx="58">
                  <c:v>537.54</c:v>
                </c:pt>
                <c:pt idx="59">
                  <c:v>539.62</c:v>
                </c:pt>
                <c:pt idx="60">
                  <c:v>540.26</c:v>
                </c:pt>
                <c:pt idx="61">
                  <c:v>544.5</c:v>
                </c:pt>
                <c:pt idx="62">
                  <c:v>558.02</c:v>
                </c:pt>
                <c:pt idx="63">
                  <c:v>563.28</c:v>
                </c:pt>
                <c:pt idx="64">
                  <c:v>583.91</c:v>
                </c:pt>
                <c:pt idx="65">
                  <c:v>587.84</c:v>
                </c:pt>
                <c:pt idx="66">
                  <c:v>597.41999999999996</c:v>
                </c:pt>
                <c:pt idx="67">
                  <c:v>598.30999999999995</c:v>
                </c:pt>
                <c:pt idx="68">
                  <c:v>609.51</c:v>
                </c:pt>
                <c:pt idx="69">
                  <c:v>660.58</c:v>
                </c:pt>
                <c:pt idx="70">
                  <c:v>661.12</c:v>
                </c:pt>
                <c:pt idx="71">
                  <c:v>711.7</c:v>
                </c:pt>
                <c:pt idx="72">
                  <c:v>733.7</c:v>
                </c:pt>
                <c:pt idx="73">
                  <c:v>767.85</c:v>
                </c:pt>
                <c:pt idx="74">
                  <c:v>769.05</c:v>
                </c:pt>
                <c:pt idx="75">
                  <c:v>771.37</c:v>
                </c:pt>
                <c:pt idx="76">
                  <c:v>780.6</c:v>
                </c:pt>
                <c:pt idx="77">
                  <c:v>803.69</c:v>
                </c:pt>
                <c:pt idx="78">
                  <c:v>810.83</c:v>
                </c:pt>
                <c:pt idx="79">
                  <c:v>813.07</c:v>
                </c:pt>
                <c:pt idx="80">
                  <c:v>817.16</c:v>
                </c:pt>
                <c:pt idx="81">
                  <c:v>822.6</c:v>
                </c:pt>
                <c:pt idx="82">
                  <c:v>827.2</c:v>
                </c:pt>
                <c:pt idx="83">
                  <c:v>837.79</c:v>
                </c:pt>
                <c:pt idx="84">
                  <c:v>863.75</c:v>
                </c:pt>
                <c:pt idx="85">
                  <c:v>869.36</c:v>
                </c:pt>
                <c:pt idx="86">
                  <c:v>881.85</c:v>
                </c:pt>
                <c:pt idx="87">
                  <c:v>897.39</c:v>
                </c:pt>
                <c:pt idx="88">
                  <c:v>913.15</c:v>
                </c:pt>
                <c:pt idx="89">
                  <c:v>931.41</c:v>
                </c:pt>
                <c:pt idx="90">
                  <c:v>934.74</c:v>
                </c:pt>
                <c:pt idx="91">
                  <c:v>943.12</c:v>
                </c:pt>
                <c:pt idx="92">
                  <c:v>947.54</c:v>
                </c:pt>
                <c:pt idx="93">
                  <c:v>986.59</c:v>
                </c:pt>
                <c:pt idx="94">
                  <c:v>989.37</c:v>
                </c:pt>
                <c:pt idx="95">
                  <c:v>1022.84</c:v>
                </c:pt>
                <c:pt idx="96">
                  <c:v>1029.2</c:v>
                </c:pt>
                <c:pt idx="97">
                  <c:v>1042.8699999999999</c:v>
                </c:pt>
                <c:pt idx="98">
                  <c:v>1043.31</c:v>
                </c:pt>
                <c:pt idx="99">
                  <c:v>1058.46</c:v>
                </c:pt>
                <c:pt idx="100">
                  <c:v>1059.0899999999999</c:v>
                </c:pt>
                <c:pt idx="101">
                  <c:v>1074.43</c:v>
                </c:pt>
                <c:pt idx="102">
                  <c:v>1080.45</c:v>
                </c:pt>
                <c:pt idx="103">
                  <c:v>1082.51</c:v>
                </c:pt>
                <c:pt idx="104">
                  <c:v>1085.78</c:v>
                </c:pt>
                <c:pt idx="105">
                  <c:v>1131.5</c:v>
                </c:pt>
                <c:pt idx="106">
                  <c:v>1169.28</c:v>
                </c:pt>
                <c:pt idx="107">
                  <c:v>1215.3900000000001</c:v>
                </c:pt>
                <c:pt idx="108">
                  <c:v>1224.1099999999999</c:v>
                </c:pt>
                <c:pt idx="109">
                  <c:v>1234.8699999999999</c:v>
                </c:pt>
                <c:pt idx="110">
                  <c:v>1246.53</c:v>
                </c:pt>
                <c:pt idx="111">
                  <c:v>1256.1199999999999</c:v>
                </c:pt>
                <c:pt idx="112">
                  <c:v>1276.95</c:v>
                </c:pt>
                <c:pt idx="113">
                  <c:v>1330.62</c:v>
                </c:pt>
                <c:pt idx="114">
                  <c:v>1342.58</c:v>
                </c:pt>
                <c:pt idx="115">
                  <c:v>1355.99</c:v>
                </c:pt>
                <c:pt idx="116">
                  <c:v>1358.42</c:v>
                </c:pt>
                <c:pt idx="117">
                  <c:v>1358.61</c:v>
                </c:pt>
                <c:pt idx="118">
                  <c:v>1372.4</c:v>
                </c:pt>
                <c:pt idx="119">
                  <c:v>1373.31</c:v>
                </c:pt>
                <c:pt idx="120">
                  <c:v>1382.17</c:v>
                </c:pt>
                <c:pt idx="121">
                  <c:v>1389.8</c:v>
                </c:pt>
                <c:pt idx="122">
                  <c:v>1411.01</c:v>
                </c:pt>
                <c:pt idx="123">
                  <c:v>1434.63</c:v>
                </c:pt>
                <c:pt idx="124">
                  <c:v>1435.95</c:v>
                </c:pt>
                <c:pt idx="125">
                  <c:v>1456.6</c:v>
                </c:pt>
                <c:pt idx="126">
                  <c:v>1461.14</c:v>
                </c:pt>
                <c:pt idx="127">
                  <c:v>1523.09</c:v>
                </c:pt>
                <c:pt idx="128">
                  <c:v>1530.57</c:v>
                </c:pt>
                <c:pt idx="129">
                  <c:v>1565.88</c:v>
                </c:pt>
                <c:pt idx="130">
                  <c:v>1580.41</c:v>
                </c:pt>
                <c:pt idx="131">
                  <c:v>1583.35</c:v>
                </c:pt>
                <c:pt idx="132">
                  <c:v>1594.4</c:v>
                </c:pt>
                <c:pt idx="133">
                  <c:v>1604.64</c:v>
                </c:pt>
                <c:pt idx="134">
                  <c:v>1615.32</c:v>
                </c:pt>
                <c:pt idx="135">
                  <c:v>1659.02</c:v>
                </c:pt>
                <c:pt idx="136">
                  <c:v>1668.74</c:v>
                </c:pt>
                <c:pt idx="137">
                  <c:v>1700.88</c:v>
                </c:pt>
                <c:pt idx="138">
                  <c:v>1715.06</c:v>
                </c:pt>
                <c:pt idx="139">
                  <c:v>1728.17</c:v>
                </c:pt>
                <c:pt idx="140">
                  <c:v>1764.92</c:v>
                </c:pt>
                <c:pt idx="141">
                  <c:v>1766.69</c:v>
                </c:pt>
                <c:pt idx="142">
                  <c:v>1775.56</c:v>
                </c:pt>
                <c:pt idx="143">
                  <c:v>1787.43</c:v>
                </c:pt>
                <c:pt idx="144">
                  <c:v>1809.79</c:v>
                </c:pt>
                <c:pt idx="145">
                  <c:v>1854.22</c:v>
                </c:pt>
                <c:pt idx="146">
                  <c:v>1866.45</c:v>
                </c:pt>
                <c:pt idx="147">
                  <c:v>1899.26</c:v>
                </c:pt>
                <c:pt idx="148">
                  <c:v>1915.74</c:v>
                </c:pt>
                <c:pt idx="149">
                  <c:v>1932.97</c:v>
                </c:pt>
                <c:pt idx="150">
                  <c:v>1950.78</c:v>
                </c:pt>
                <c:pt idx="151">
                  <c:v>1951.75</c:v>
                </c:pt>
                <c:pt idx="152">
                  <c:v>1962.15</c:v>
                </c:pt>
                <c:pt idx="153">
                  <c:v>1966.15</c:v>
                </c:pt>
                <c:pt idx="154">
                  <c:v>1977.89</c:v>
                </c:pt>
                <c:pt idx="155">
                  <c:v>1978.83</c:v>
                </c:pt>
                <c:pt idx="156">
                  <c:v>1988.61</c:v>
                </c:pt>
                <c:pt idx="157">
                  <c:v>2033.46</c:v>
                </c:pt>
                <c:pt idx="158">
                  <c:v>2038.87</c:v>
                </c:pt>
                <c:pt idx="159">
                  <c:v>2066.85</c:v>
                </c:pt>
                <c:pt idx="160">
                  <c:v>2072.12</c:v>
                </c:pt>
                <c:pt idx="161">
                  <c:v>2101.1</c:v>
                </c:pt>
                <c:pt idx="162">
                  <c:v>2151.17</c:v>
                </c:pt>
                <c:pt idx="163">
                  <c:v>2174.5100000000002</c:v>
                </c:pt>
                <c:pt idx="164">
                  <c:v>2178.2600000000002</c:v>
                </c:pt>
                <c:pt idx="165">
                  <c:v>2192.91</c:v>
                </c:pt>
                <c:pt idx="166">
                  <c:v>2195.67</c:v>
                </c:pt>
                <c:pt idx="167">
                  <c:v>2229.85</c:v>
                </c:pt>
                <c:pt idx="168">
                  <c:v>2280.44</c:v>
                </c:pt>
                <c:pt idx="169">
                  <c:v>2306.7800000000002</c:v>
                </c:pt>
                <c:pt idx="170">
                  <c:v>2308.62</c:v>
                </c:pt>
                <c:pt idx="171">
                  <c:v>2354.84</c:v>
                </c:pt>
                <c:pt idx="172">
                  <c:v>2390.9</c:v>
                </c:pt>
                <c:pt idx="173">
                  <c:v>2410.27</c:v>
                </c:pt>
                <c:pt idx="174">
                  <c:v>2424</c:v>
                </c:pt>
                <c:pt idx="175">
                  <c:v>2429.9299999999998</c:v>
                </c:pt>
                <c:pt idx="176">
                  <c:v>2456.7199999999998</c:v>
                </c:pt>
                <c:pt idx="177">
                  <c:v>2500.7800000000002</c:v>
                </c:pt>
                <c:pt idx="178">
                  <c:v>2528.59</c:v>
                </c:pt>
                <c:pt idx="179">
                  <c:v>2536.66</c:v>
                </c:pt>
                <c:pt idx="180">
                  <c:v>2569.86</c:v>
                </c:pt>
                <c:pt idx="181">
                  <c:v>2635.17</c:v>
                </c:pt>
                <c:pt idx="182">
                  <c:v>2698.07</c:v>
                </c:pt>
                <c:pt idx="183">
                  <c:v>2709.56</c:v>
                </c:pt>
                <c:pt idx="184">
                  <c:v>2823.72</c:v>
                </c:pt>
                <c:pt idx="185">
                  <c:v>2828.79</c:v>
                </c:pt>
                <c:pt idx="186">
                  <c:v>2844.82</c:v>
                </c:pt>
                <c:pt idx="187">
                  <c:v>2850.24</c:v>
                </c:pt>
                <c:pt idx="188">
                  <c:v>2874.01</c:v>
                </c:pt>
                <c:pt idx="189">
                  <c:v>2897.61</c:v>
                </c:pt>
                <c:pt idx="190">
                  <c:v>2937.02</c:v>
                </c:pt>
                <c:pt idx="191">
                  <c:v>2955.38</c:v>
                </c:pt>
                <c:pt idx="192">
                  <c:v>3010.02</c:v>
                </c:pt>
                <c:pt idx="193">
                  <c:v>3053.37</c:v>
                </c:pt>
                <c:pt idx="194">
                  <c:v>3102.67</c:v>
                </c:pt>
                <c:pt idx="195">
                  <c:v>3110.98</c:v>
                </c:pt>
                <c:pt idx="196">
                  <c:v>3122.09</c:v>
                </c:pt>
                <c:pt idx="197">
                  <c:v>3170.57</c:v>
                </c:pt>
                <c:pt idx="198">
                  <c:v>3183.1</c:v>
                </c:pt>
                <c:pt idx="199">
                  <c:v>3193.25</c:v>
                </c:pt>
                <c:pt idx="200">
                  <c:v>3203.47</c:v>
                </c:pt>
                <c:pt idx="201">
                  <c:v>3250.83</c:v>
                </c:pt>
                <c:pt idx="202">
                  <c:v>3256.16</c:v>
                </c:pt>
                <c:pt idx="203">
                  <c:v>3354.81</c:v>
                </c:pt>
                <c:pt idx="204">
                  <c:v>3386.26</c:v>
                </c:pt>
                <c:pt idx="205">
                  <c:v>3405.54</c:v>
                </c:pt>
                <c:pt idx="206">
                  <c:v>3459.34</c:v>
                </c:pt>
                <c:pt idx="207">
                  <c:v>3490.97</c:v>
                </c:pt>
                <c:pt idx="208">
                  <c:v>3492.06</c:v>
                </c:pt>
                <c:pt idx="209">
                  <c:v>3543.2</c:v>
                </c:pt>
                <c:pt idx="210">
                  <c:v>3619.33</c:v>
                </c:pt>
                <c:pt idx="211">
                  <c:v>3621.15</c:v>
                </c:pt>
                <c:pt idx="212">
                  <c:v>3697.15</c:v>
                </c:pt>
                <c:pt idx="213">
                  <c:v>3702.32</c:v>
                </c:pt>
                <c:pt idx="214">
                  <c:v>3704.87</c:v>
                </c:pt>
                <c:pt idx="215">
                  <c:v>3711.71</c:v>
                </c:pt>
                <c:pt idx="216">
                  <c:v>3770.42</c:v>
                </c:pt>
                <c:pt idx="217">
                  <c:v>3814.84</c:v>
                </c:pt>
                <c:pt idx="218">
                  <c:v>3987.11</c:v>
                </c:pt>
                <c:pt idx="219">
                  <c:v>4028.74</c:v>
                </c:pt>
                <c:pt idx="220">
                  <c:v>4032.13</c:v>
                </c:pt>
                <c:pt idx="221">
                  <c:v>4034.99</c:v>
                </c:pt>
                <c:pt idx="222">
                  <c:v>4135.57</c:v>
                </c:pt>
                <c:pt idx="223">
                  <c:v>4137.84</c:v>
                </c:pt>
                <c:pt idx="224">
                  <c:v>4173.87</c:v>
                </c:pt>
                <c:pt idx="225">
                  <c:v>4353.59</c:v>
                </c:pt>
                <c:pt idx="226">
                  <c:v>4459.95</c:v>
                </c:pt>
                <c:pt idx="227">
                  <c:v>4766.75</c:v>
                </c:pt>
                <c:pt idx="228">
                  <c:v>4926.5</c:v>
                </c:pt>
                <c:pt idx="229">
                  <c:v>4971.96</c:v>
                </c:pt>
                <c:pt idx="230">
                  <c:v>5046.28</c:v>
                </c:pt>
                <c:pt idx="231">
                  <c:v>5223.26</c:v>
                </c:pt>
                <c:pt idx="232">
                  <c:v>5272.55</c:v>
                </c:pt>
                <c:pt idx="233">
                  <c:v>5384.36</c:v>
                </c:pt>
                <c:pt idx="234">
                  <c:v>5411.89</c:v>
                </c:pt>
                <c:pt idx="235">
                  <c:v>5502.85</c:v>
                </c:pt>
                <c:pt idx="236">
                  <c:v>5544.58</c:v>
                </c:pt>
                <c:pt idx="237">
                  <c:v>5844.48</c:v>
                </c:pt>
                <c:pt idx="238">
                  <c:v>5880.71</c:v>
                </c:pt>
                <c:pt idx="239">
                  <c:v>5907.51</c:v>
                </c:pt>
                <c:pt idx="240">
                  <c:v>5962.92</c:v>
                </c:pt>
                <c:pt idx="241">
                  <c:v>6083.97</c:v>
                </c:pt>
                <c:pt idx="242">
                  <c:v>6084.14</c:v>
                </c:pt>
                <c:pt idx="243">
                  <c:v>6425.08</c:v>
                </c:pt>
                <c:pt idx="244">
                  <c:v>6558.21</c:v>
                </c:pt>
                <c:pt idx="245">
                  <c:v>6668.19</c:v>
                </c:pt>
                <c:pt idx="246">
                  <c:v>7358.66</c:v>
                </c:pt>
                <c:pt idx="247">
                  <c:v>7500.63</c:v>
                </c:pt>
                <c:pt idx="248">
                  <c:v>7582.99</c:v>
                </c:pt>
                <c:pt idx="249">
                  <c:v>7721.46</c:v>
                </c:pt>
                <c:pt idx="250">
                  <c:v>7967.4</c:v>
                </c:pt>
                <c:pt idx="251">
                  <c:v>8528.01</c:v>
                </c:pt>
                <c:pt idx="252">
                  <c:v>10872.94</c:v>
                </c:pt>
                <c:pt idx="253">
                  <c:v>14678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F5-4BBE-AEBC-8C8F61C37CA2}"/>
            </c:ext>
          </c:extLst>
        </c:ser>
        <c:ser>
          <c:idx val="2"/>
          <c:order val="1"/>
          <c:tx>
            <c:strRef>
              <c:f>Numerical_data!$Q$256</c:f>
              <c:strCache>
                <c:ptCount val="1"/>
                <c:pt idx="0">
                  <c:v>Fraud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Numerical_data!$F$256:$F$501</c:f>
              <c:numCache>
                <c:formatCode>General</c:formatCode>
                <c:ptCount val="246"/>
                <c:pt idx="0">
                  <c:v>74</c:v>
                </c:pt>
                <c:pt idx="1">
                  <c:v>94</c:v>
                </c:pt>
                <c:pt idx="2">
                  <c:v>157</c:v>
                </c:pt>
                <c:pt idx="3">
                  <c:v>24</c:v>
                </c:pt>
                <c:pt idx="4">
                  <c:v>228</c:v>
                </c:pt>
                <c:pt idx="5">
                  <c:v>61</c:v>
                </c:pt>
                <c:pt idx="6">
                  <c:v>214</c:v>
                </c:pt>
                <c:pt idx="7">
                  <c:v>249</c:v>
                </c:pt>
                <c:pt idx="8">
                  <c:v>200</c:v>
                </c:pt>
                <c:pt idx="9">
                  <c:v>122</c:v>
                </c:pt>
                <c:pt idx="10">
                  <c:v>54</c:v>
                </c:pt>
                <c:pt idx="11">
                  <c:v>4</c:v>
                </c:pt>
                <c:pt idx="12">
                  <c:v>218</c:v>
                </c:pt>
                <c:pt idx="13">
                  <c:v>244</c:v>
                </c:pt>
                <c:pt idx="14">
                  <c:v>161</c:v>
                </c:pt>
                <c:pt idx="15">
                  <c:v>29</c:v>
                </c:pt>
                <c:pt idx="16">
                  <c:v>113</c:v>
                </c:pt>
                <c:pt idx="17">
                  <c:v>137</c:v>
                </c:pt>
                <c:pt idx="18">
                  <c:v>89</c:v>
                </c:pt>
                <c:pt idx="19">
                  <c:v>145</c:v>
                </c:pt>
                <c:pt idx="20">
                  <c:v>203</c:v>
                </c:pt>
                <c:pt idx="21">
                  <c:v>228</c:v>
                </c:pt>
                <c:pt idx="22">
                  <c:v>2</c:v>
                </c:pt>
                <c:pt idx="23">
                  <c:v>273</c:v>
                </c:pt>
                <c:pt idx="24">
                  <c:v>135</c:v>
                </c:pt>
                <c:pt idx="25">
                  <c:v>69</c:v>
                </c:pt>
                <c:pt idx="26">
                  <c:v>47</c:v>
                </c:pt>
                <c:pt idx="27">
                  <c:v>257</c:v>
                </c:pt>
                <c:pt idx="28">
                  <c:v>184</c:v>
                </c:pt>
                <c:pt idx="29">
                  <c:v>113</c:v>
                </c:pt>
                <c:pt idx="30">
                  <c:v>138</c:v>
                </c:pt>
                <c:pt idx="31">
                  <c:v>95</c:v>
                </c:pt>
                <c:pt idx="32">
                  <c:v>183</c:v>
                </c:pt>
                <c:pt idx="33">
                  <c:v>289</c:v>
                </c:pt>
                <c:pt idx="34">
                  <c:v>72</c:v>
                </c:pt>
                <c:pt idx="35">
                  <c:v>286</c:v>
                </c:pt>
                <c:pt idx="36">
                  <c:v>173</c:v>
                </c:pt>
                <c:pt idx="37">
                  <c:v>115</c:v>
                </c:pt>
                <c:pt idx="38">
                  <c:v>81</c:v>
                </c:pt>
                <c:pt idx="39">
                  <c:v>4</c:v>
                </c:pt>
                <c:pt idx="40">
                  <c:v>74</c:v>
                </c:pt>
                <c:pt idx="41">
                  <c:v>126</c:v>
                </c:pt>
                <c:pt idx="42">
                  <c:v>37</c:v>
                </c:pt>
                <c:pt idx="43">
                  <c:v>109</c:v>
                </c:pt>
                <c:pt idx="44">
                  <c:v>218</c:v>
                </c:pt>
                <c:pt idx="45">
                  <c:v>20</c:v>
                </c:pt>
                <c:pt idx="46">
                  <c:v>141</c:v>
                </c:pt>
                <c:pt idx="47">
                  <c:v>222</c:v>
                </c:pt>
                <c:pt idx="48">
                  <c:v>199</c:v>
                </c:pt>
                <c:pt idx="49">
                  <c:v>160</c:v>
                </c:pt>
                <c:pt idx="50">
                  <c:v>38</c:v>
                </c:pt>
                <c:pt idx="51">
                  <c:v>121</c:v>
                </c:pt>
                <c:pt idx="52">
                  <c:v>186</c:v>
                </c:pt>
                <c:pt idx="53">
                  <c:v>242</c:v>
                </c:pt>
                <c:pt idx="54">
                  <c:v>205</c:v>
                </c:pt>
                <c:pt idx="55">
                  <c:v>50</c:v>
                </c:pt>
                <c:pt idx="56">
                  <c:v>174</c:v>
                </c:pt>
                <c:pt idx="57">
                  <c:v>289</c:v>
                </c:pt>
                <c:pt idx="58">
                  <c:v>289</c:v>
                </c:pt>
                <c:pt idx="59">
                  <c:v>141</c:v>
                </c:pt>
                <c:pt idx="60">
                  <c:v>88</c:v>
                </c:pt>
                <c:pt idx="61">
                  <c:v>293</c:v>
                </c:pt>
                <c:pt idx="62">
                  <c:v>127</c:v>
                </c:pt>
                <c:pt idx="63">
                  <c:v>141</c:v>
                </c:pt>
                <c:pt idx="64">
                  <c:v>38</c:v>
                </c:pt>
                <c:pt idx="65">
                  <c:v>114</c:v>
                </c:pt>
                <c:pt idx="66">
                  <c:v>226</c:v>
                </c:pt>
                <c:pt idx="67">
                  <c:v>257</c:v>
                </c:pt>
                <c:pt idx="68">
                  <c:v>274</c:v>
                </c:pt>
                <c:pt idx="69">
                  <c:v>65</c:v>
                </c:pt>
                <c:pt idx="70">
                  <c:v>233</c:v>
                </c:pt>
                <c:pt idx="71">
                  <c:v>25</c:v>
                </c:pt>
                <c:pt idx="72">
                  <c:v>280</c:v>
                </c:pt>
                <c:pt idx="73">
                  <c:v>82</c:v>
                </c:pt>
                <c:pt idx="74">
                  <c:v>229</c:v>
                </c:pt>
                <c:pt idx="75">
                  <c:v>198</c:v>
                </c:pt>
                <c:pt idx="76">
                  <c:v>46</c:v>
                </c:pt>
                <c:pt idx="77">
                  <c:v>114</c:v>
                </c:pt>
                <c:pt idx="78">
                  <c:v>159</c:v>
                </c:pt>
                <c:pt idx="79">
                  <c:v>180</c:v>
                </c:pt>
                <c:pt idx="80">
                  <c:v>225</c:v>
                </c:pt>
                <c:pt idx="81">
                  <c:v>49</c:v>
                </c:pt>
                <c:pt idx="82">
                  <c:v>43</c:v>
                </c:pt>
                <c:pt idx="83">
                  <c:v>167</c:v>
                </c:pt>
                <c:pt idx="84">
                  <c:v>87</c:v>
                </c:pt>
                <c:pt idx="85">
                  <c:v>87</c:v>
                </c:pt>
                <c:pt idx="86">
                  <c:v>235</c:v>
                </c:pt>
                <c:pt idx="87">
                  <c:v>291</c:v>
                </c:pt>
                <c:pt idx="88">
                  <c:v>32</c:v>
                </c:pt>
                <c:pt idx="89">
                  <c:v>80</c:v>
                </c:pt>
                <c:pt idx="90">
                  <c:v>271</c:v>
                </c:pt>
                <c:pt idx="91">
                  <c:v>61</c:v>
                </c:pt>
                <c:pt idx="92">
                  <c:v>38</c:v>
                </c:pt>
                <c:pt idx="93">
                  <c:v>95</c:v>
                </c:pt>
                <c:pt idx="94">
                  <c:v>128</c:v>
                </c:pt>
                <c:pt idx="95">
                  <c:v>234</c:v>
                </c:pt>
                <c:pt idx="96">
                  <c:v>97</c:v>
                </c:pt>
                <c:pt idx="97">
                  <c:v>64</c:v>
                </c:pt>
                <c:pt idx="98">
                  <c:v>116</c:v>
                </c:pt>
                <c:pt idx="99">
                  <c:v>160</c:v>
                </c:pt>
                <c:pt idx="100">
                  <c:v>268</c:v>
                </c:pt>
                <c:pt idx="101">
                  <c:v>161</c:v>
                </c:pt>
                <c:pt idx="102">
                  <c:v>231</c:v>
                </c:pt>
                <c:pt idx="103">
                  <c:v>97</c:v>
                </c:pt>
                <c:pt idx="104">
                  <c:v>160</c:v>
                </c:pt>
                <c:pt idx="105">
                  <c:v>177</c:v>
                </c:pt>
                <c:pt idx="106">
                  <c:v>37</c:v>
                </c:pt>
                <c:pt idx="107">
                  <c:v>84</c:v>
                </c:pt>
                <c:pt idx="108">
                  <c:v>181</c:v>
                </c:pt>
                <c:pt idx="109">
                  <c:v>282</c:v>
                </c:pt>
                <c:pt idx="110">
                  <c:v>12</c:v>
                </c:pt>
                <c:pt idx="111">
                  <c:v>189</c:v>
                </c:pt>
                <c:pt idx="112">
                  <c:v>6</c:v>
                </c:pt>
                <c:pt idx="113">
                  <c:v>147</c:v>
                </c:pt>
                <c:pt idx="114">
                  <c:v>62</c:v>
                </c:pt>
                <c:pt idx="115">
                  <c:v>57</c:v>
                </c:pt>
                <c:pt idx="116">
                  <c:v>50</c:v>
                </c:pt>
                <c:pt idx="117">
                  <c:v>90</c:v>
                </c:pt>
                <c:pt idx="118">
                  <c:v>89</c:v>
                </c:pt>
                <c:pt idx="119">
                  <c:v>100</c:v>
                </c:pt>
                <c:pt idx="120">
                  <c:v>56</c:v>
                </c:pt>
                <c:pt idx="121">
                  <c:v>60</c:v>
                </c:pt>
                <c:pt idx="122">
                  <c:v>203</c:v>
                </c:pt>
                <c:pt idx="123">
                  <c:v>166</c:v>
                </c:pt>
                <c:pt idx="124">
                  <c:v>38</c:v>
                </c:pt>
                <c:pt idx="125">
                  <c:v>208</c:v>
                </c:pt>
                <c:pt idx="126">
                  <c:v>288</c:v>
                </c:pt>
                <c:pt idx="127">
                  <c:v>260</c:v>
                </c:pt>
                <c:pt idx="128">
                  <c:v>72</c:v>
                </c:pt>
                <c:pt idx="129">
                  <c:v>175</c:v>
                </c:pt>
                <c:pt idx="130">
                  <c:v>294</c:v>
                </c:pt>
                <c:pt idx="131">
                  <c:v>287</c:v>
                </c:pt>
                <c:pt idx="132">
                  <c:v>28</c:v>
                </c:pt>
                <c:pt idx="133">
                  <c:v>79</c:v>
                </c:pt>
                <c:pt idx="134">
                  <c:v>242</c:v>
                </c:pt>
                <c:pt idx="135">
                  <c:v>177</c:v>
                </c:pt>
                <c:pt idx="136">
                  <c:v>2</c:v>
                </c:pt>
                <c:pt idx="137">
                  <c:v>165</c:v>
                </c:pt>
                <c:pt idx="138">
                  <c:v>52</c:v>
                </c:pt>
                <c:pt idx="139">
                  <c:v>171</c:v>
                </c:pt>
                <c:pt idx="140">
                  <c:v>74</c:v>
                </c:pt>
                <c:pt idx="141">
                  <c:v>242</c:v>
                </c:pt>
                <c:pt idx="142">
                  <c:v>113</c:v>
                </c:pt>
                <c:pt idx="143">
                  <c:v>113</c:v>
                </c:pt>
                <c:pt idx="144">
                  <c:v>120</c:v>
                </c:pt>
                <c:pt idx="145">
                  <c:v>39</c:v>
                </c:pt>
                <c:pt idx="146">
                  <c:v>168</c:v>
                </c:pt>
                <c:pt idx="147">
                  <c:v>293</c:v>
                </c:pt>
                <c:pt idx="148">
                  <c:v>8</c:v>
                </c:pt>
                <c:pt idx="149">
                  <c:v>198</c:v>
                </c:pt>
                <c:pt idx="150">
                  <c:v>136</c:v>
                </c:pt>
                <c:pt idx="151">
                  <c:v>226</c:v>
                </c:pt>
                <c:pt idx="152">
                  <c:v>268</c:v>
                </c:pt>
                <c:pt idx="153">
                  <c:v>154</c:v>
                </c:pt>
                <c:pt idx="154">
                  <c:v>33</c:v>
                </c:pt>
                <c:pt idx="155">
                  <c:v>260</c:v>
                </c:pt>
                <c:pt idx="156">
                  <c:v>249</c:v>
                </c:pt>
                <c:pt idx="157">
                  <c:v>131</c:v>
                </c:pt>
                <c:pt idx="158">
                  <c:v>112</c:v>
                </c:pt>
                <c:pt idx="159">
                  <c:v>216</c:v>
                </c:pt>
                <c:pt idx="160">
                  <c:v>139</c:v>
                </c:pt>
                <c:pt idx="161">
                  <c:v>12</c:v>
                </c:pt>
                <c:pt idx="162">
                  <c:v>175</c:v>
                </c:pt>
                <c:pt idx="163">
                  <c:v>104</c:v>
                </c:pt>
                <c:pt idx="164">
                  <c:v>296</c:v>
                </c:pt>
                <c:pt idx="165">
                  <c:v>48</c:v>
                </c:pt>
                <c:pt idx="166">
                  <c:v>260</c:v>
                </c:pt>
                <c:pt idx="167">
                  <c:v>286</c:v>
                </c:pt>
                <c:pt idx="168">
                  <c:v>281</c:v>
                </c:pt>
                <c:pt idx="169">
                  <c:v>178</c:v>
                </c:pt>
                <c:pt idx="170">
                  <c:v>170</c:v>
                </c:pt>
                <c:pt idx="171">
                  <c:v>278</c:v>
                </c:pt>
                <c:pt idx="172">
                  <c:v>145</c:v>
                </c:pt>
                <c:pt idx="173">
                  <c:v>214</c:v>
                </c:pt>
                <c:pt idx="174">
                  <c:v>271</c:v>
                </c:pt>
                <c:pt idx="175">
                  <c:v>280</c:v>
                </c:pt>
                <c:pt idx="176">
                  <c:v>277</c:v>
                </c:pt>
                <c:pt idx="177">
                  <c:v>49</c:v>
                </c:pt>
                <c:pt idx="178">
                  <c:v>235</c:v>
                </c:pt>
                <c:pt idx="179">
                  <c:v>164</c:v>
                </c:pt>
                <c:pt idx="180">
                  <c:v>134</c:v>
                </c:pt>
                <c:pt idx="181">
                  <c:v>204</c:v>
                </c:pt>
                <c:pt idx="182">
                  <c:v>247</c:v>
                </c:pt>
                <c:pt idx="183">
                  <c:v>221</c:v>
                </c:pt>
                <c:pt idx="184">
                  <c:v>80</c:v>
                </c:pt>
                <c:pt idx="185">
                  <c:v>280</c:v>
                </c:pt>
                <c:pt idx="186">
                  <c:v>276</c:v>
                </c:pt>
                <c:pt idx="187">
                  <c:v>31</c:v>
                </c:pt>
                <c:pt idx="188">
                  <c:v>169</c:v>
                </c:pt>
                <c:pt idx="189">
                  <c:v>289</c:v>
                </c:pt>
                <c:pt idx="190">
                  <c:v>223</c:v>
                </c:pt>
                <c:pt idx="191">
                  <c:v>170</c:v>
                </c:pt>
                <c:pt idx="192">
                  <c:v>80</c:v>
                </c:pt>
                <c:pt idx="193">
                  <c:v>132</c:v>
                </c:pt>
                <c:pt idx="194">
                  <c:v>187</c:v>
                </c:pt>
                <c:pt idx="195">
                  <c:v>119</c:v>
                </c:pt>
                <c:pt idx="196">
                  <c:v>74</c:v>
                </c:pt>
                <c:pt idx="197">
                  <c:v>202</c:v>
                </c:pt>
                <c:pt idx="198">
                  <c:v>96</c:v>
                </c:pt>
                <c:pt idx="199">
                  <c:v>77</c:v>
                </c:pt>
                <c:pt idx="200">
                  <c:v>203</c:v>
                </c:pt>
                <c:pt idx="201">
                  <c:v>227</c:v>
                </c:pt>
                <c:pt idx="202">
                  <c:v>227</c:v>
                </c:pt>
                <c:pt idx="203">
                  <c:v>21</c:v>
                </c:pt>
                <c:pt idx="204">
                  <c:v>250</c:v>
                </c:pt>
                <c:pt idx="205">
                  <c:v>283</c:v>
                </c:pt>
                <c:pt idx="206">
                  <c:v>261</c:v>
                </c:pt>
                <c:pt idx="207">
                  <c:v>51</c:v>
                </c:pt>
                <c:pt idx="208">
                  <c:v>248</c:v>
                </c:pt>
                <c:pt idx="209">
                  <c:v>221</c:v>
                </c:pt>
                <c:pt idx="210">
                  <c:v>116</c:v>
                </c:pt>
                <c:pt idx="211">
                  <c:v>117</c:v>
                </c:pt>
                <c:pt idx="212">
                  <c:v>167</c:v>
                </c:pt>
                <c:pt idx="213">
                  <c:v>294</c:v>
                </c:pt>
                <c:pt idx="214">
                  <c:v>176</c:v>
                </c:pt>
                <c:pt idx="215">
                  <c:v>126</c:v>
                </c:pt>
                <c:pt idx="216">
                  <c:v>214</c:v>
                </c:pt>
                <c:pt idx="217">
                  <c:v>195</c:v>
                </c:pt>
                <c:pt idx="218">
                  <c:v>267</c:v>
                </c:pt>
                <c:pt idx="219">
                  <c:v>275</c:v>
                </c:pt>
                <c:pt idx="220">
                  <c:v>204</c:v>
                </c:pt>
                <c:pt idx="221">
                  <c:v>9</c:v>
                </c:pt>
                <c:pt idx="222">
                  <c:v>247</c:v>
                </c:pt>
                <c:pt idx="223">
                  <c:v>61</c:v>
                </c:pt>
                <c:pt idx="224">
                  <c:v>68</c:v>
                </c:pt>
                <c:pt idx="225">
                  <c:v>102</c:v>
                </c:pt>
                <c:pt idx="226">
                  <c:v>87</c:v>
                </c:pt>
                <c:pt idx="227">
                  <c:v>285</c:v>
                </c:pt>
                <c:pt idx="228">
                  <c:v>79</c:v>
                </c:pt>
                <c:pt idx="229">
                  <c:v>112</c:v>
                </c:pt>
                <c:pt idx="230">
                  <c:v>144</c:v>
                </c:pt>
                <c:pt idx="231">
                  <c:v>67</c:v>
                </c:pt>
                <c:pt idx="232">
                  <c:v>147</c:v>
                </c:pt>
                <c:pt idx="233">
                  <c:v>138</c:v>
                </c:pt>
                <c:pt idx="234">
                  <c:v>189</c:v>
                </c:pt>
                <c:pt idx="235">
                  <c:v>89</c:v>
                </c:pt>
                <c:pt idx="236">
                  <c:v>57</c:v>
                </c:pt>
                <c:pt idx="237">
                  <c:v>147</c:v>
                </c:pt>
                <c:pt idx="238">
                  <c:v>38</c:v>
                </c:pt>
                <c:pt idx="239">
                  <c:v>61</c:v>
                </c:pt>
                <c:pt idx="240">
                  <c:v>169</c:v>
                </c:pt>
                <c:pt idx="241">
                  <c:v>234</c:v>
                </c:pt>
                <c:pt idx="242">
                  <c:v>125</c:v>
                </c:pt>
                <c:pt idx="243">
                  <c:v>112</c:v>
                </c:pt>
                <c:pt idx="244">
                  <c:v>43</c:v>
                </c:pt>
                <c:pt idx="245">
                  <c:v>41</c:v>
                </c:pt>
              </c:numCache>
            </c:numRef>
          </c:xVal>
          <c:yVal>
            <c:numRef>
              <c:f>Numerical_data!$G$256:$G$501</c:f>
              <c:numCache>
                <c:formatCode>General</c:formatCode>
                <c:ptCount val="246"/>
                <c:pt idx="0">
                  <c:v>10</c:v>
                </c:pt>
                <c:pt idx="1">
                  <c:v>14.23</c:v>
                </c:pt>
                <c:pt idx="2">
                  <c:v>17.309999999999999</c:v>
                </c:pt>
                <c:pt idx="3">
                  <c:v>33.619999999999997</c:v>
                </c:pt>
                <c:pt idx="4">
                  <c:v>34.229999999999997</c:v>
                </c:pt>
                <c:pt idx="5">
                  <c:v>36.39</c:v>
                </c:pt>
                <c:pt idx="6">
                  <c:v>39.69</c:v>
                </c:pt>
                <c:pt idx="7">
                  <c:v>40.35</c:v>
                </c:pt>
                <c:pt idx="8">
                  <c:v>66.02</c:v>
                </c:pt>
                <c:pt idx="9">
                  <c:v>91.23</c:v>
                </c:pt>
                <c:pt idx="10">
                  <c:v>103.27</c:v>
                </c:pt>
                <c:pt idx="11">
                  <c:v>105.17</c:v>
                </c:pt>
                <c:pt idx="12">
                  <c:v>108.54</c:v>
                </c:pt>
                <c:pt idx="13">
                  <c:v>116.58</c:v>
                </c:pt>
                <c:pt idx="14">
                  <c:v>129.94999999999999</c:v>
                </c:pt>
                <c:pt idx="15">
                  <c:v>135.76</c:v>
                </c:pt>
                <c:pt idx="16">
                  <c:v>146.63999999999999</c:v>
                </c:pt>
                <c:pt idx="17">
                  <c:v>149.91</c:v>
                </c:pt>
                <c:pt idx="18">
                  <c:v>150.57</c:v>
                </c:pt>
                <c:pt idx="19">
                  <c:v>175.94</c:v>
                </c:pt>
                <c:pt idx="20">
                  <c:v>182.95</c:v>
                </c:pt>
                <c:pt idx="21">
                  <c:v>189.54</c:v>
                </c:pt>
                <c:pt idx="22">
                  <c:v>196.46</c:v>
                </c:pt>
                <c:pt idx="23">
                  <c:v>199.31</c:v>
                </c:pt>
                <c:pt idx="24">
                  <c:v>204.9</c:v>
                </c:pt>
                <c:pt idx="25">
                  <c:v>208.82</c:v>
                </c:pt>
                <c:pt idx="26">
                  <c:v>209.03</c:v>
                </c:pt>
                <c:pt idx="27">
                  <c:v>223.64</c:v>
                </c:pt>
                <c:pt idx="28">
                  <c:v>223.66</c:v>
                </c:pt>
                <c:pt idx="29">
                  <c:v>229.48</c:v>
                </c:pt>
                <c:pt idx="30">
                  <c:v>241.28</c:v>
                </c:pt>
                <c:pt idx="31">
                  <c:v>256.76</c:v>
                </c:pt>
                <c:pt idx="32">
                  <c:v>271.89</c:v>
                </c:pt>
                <c:pt idx="33">
                  <c:v>284.20999999999998</c:v>
                </c:pt>
                <c:pt idx="34">
                  <c:v>291.5</c:v>
                </c:pt>
                <c:pt idx="35">
                  <c:v>291.77999999999997</c:v>
                </c:pt>
                <c:pt idx="36">
                  <c:v>292.5</c:v>
                </c:pt>
                <c:pt idx="37">
                  <c:v>306.73</c:v>
                </c:pt>
                <c:pt idx="38">
                  <c:v>308.77999999999997</c:v>
                </c:pt>
                <c:pt idx="39">
                  <c:v>310.68</c:v>
                </c:pt>
                <c:pt idx="40">
                  <c:v>317.07</c:v>
                </c:pt>
                <c:pt idx="41">
                  <c:v>323.58</c:v>
                </c:pt>
                <c:pt idx="42">
                  <c:v>324.82</c:v>
                </c:pt>
                <c:pt idx="43">
                  <c:v>328.01</c:v>
                </c:pt>
                <c:pt idx="44">
                  <c:v>336.33</c:v>
                </c:pt>
                <c:pt idx="45">
                  <c:v>338.85</c:v>
                </c:pt>
                <c:pt idx="46">
                  <c:v>342.06</c:v>
                </c:pt>
                <c:pt idx="47">
                  <c:v>354.69</c:v>
                </c:pt>
                <c:pt idx="48">
                  <c:v>357.61</c:v>
                </c:pt>
                <c:pt idx="49">
                  <c:v>359.61</c:v>
                </c:pt>
                <c:pt idx="50">
                  <c:v>364.34</c:v>
                </c:pt>
                <c:pt idx="51">
                  <c:v>368.13</c:v>
                </c:pt>
                <c:pt idx="52">
                  <c:v>369.91</c:v>
                </c:pt>
                <c:pt idx="53">
                  <c:v>374.62</c:v>
                </c:pt>
                <c:pt idx="54">
                  <c:v>378.42</c:v>
                </c:pt>
                <c:pt idx="55">
                  <c:v>384.22</c:v>
                </c:pt>
                <c:pt idx="56">
                  <c:v>393.29</c:v>
                </c:pt>
                <c:pt idx="57">
                  <c:v>414.9</c:v>
                </c:pt>
                <c:pt idx="58">
                  <c:v>427.17</c:v>
                </c:pt>
                <c:pt idx="59">
                  <c:v>440.52</c:v>
                </c:pt>
                <c:pt idx="60">
                  <c:v>441.78</c:v>
                </c:pt>
                <c:pt idx="61">
                  <c:v>456.96</c:v>
                </c:pt>
                <c:pt idx="62">
                  <c:v>471.74</c:v>
                </c:pt>
                <c:pt idx="63">
                  <c:v>473.38</c:v>
                </c:pt>
                <c:pt idx="64">
                  <c:v>475.07</c:v>
                </c:pt>
                <c:pt idx="65">
                  <c:v>475.26</c:v>
                </c:pt>
                <c:pt idx="66">
                  <c:v>476.72</c:v>
                </c:pt>
                <c:pt idx="67">
                  <c:v>498.13</c:v>
                </c:pt>
                <c:pt idx="68">
                  <c:v>545.84</c:v>
                </c:pt>
                <c:pt idx="69">
                  <c:v>546.24</c:v>
                </c:pt>
                <c:pt idx="70">
                  <c:v>557.95000000000005</c:v>
                </c:pt>
                <c:pt idx="71">
                  <c:v>564.24</c:v>
                </c:pt>
                <c:pt idx="72">
                  <c:v>570.79999999999995</c:v>
                </c:pt>
                <c:pt idx="73">
                  <c:v>572.64</c:v>
                </c:pt>
                <c:pt idx="74">
                  <c:v>590.53</c:v>
                </c:pt>
                <c:pt idx="75">
                  <c:v>597.62</c:v>
                </c:pt>
                <c:pt idx="76">
                  <c:v>615.9</c:v>
                </c:pt>
                <c:pt idx="77">
                  <c:v>616.23</c:v>
                </c:pt>
                <c:pt idx="78">
                  <c:v>628.72</c:v>
                </c:pt>
                <c:pt idx="79">
                  <c:v>634.13</c:v>
                </c:pt>
                <c:pt idx="80">
                  <c:v>670.04</c:v>
                </c:pt>
                <c:pt idx="81">
                  <c:v>672.08</c:v>
                </c:pt>
                <c:pt idx="82">
                  <c:v>682.59</c:v>
                </c:pt>
                <c:pt idx="83">
                  <c:v>705.41</c:v>
                </c:pt>
                <c:pt idx="84">
                  <c:v>713.54</c:v>
                </c:pt>
                <c:pt idx="85">
                  <c:v>716.71</c:v>
                </c:pt>
                <c:pt idx="86">
                  <c:v>722.13</c:v>
                </c:pt>
                <c:pt idx="87">
                  <c:v>727.97</c:v>
                </c:pt>
                <c:pt idx="88">
                  <c:v>738.99</c:v>
                </c:pt>
                <c:pt idx="89">
                  <c:v>823.4</c:v>
                </c:pt>
                <c:pt idx="90">
                  <c:v>826.51</c:v>
                </c:pt>
                <c:pt idx="91">
                  <c:v>835.8</c:v>
                </c:pt>
                <c:pt idx="92">
                  <c:v>861.59</c:v>
                </c:pt>
                <c:pt idx="93">
                  <c:v>880.32</c:v>
                </c:pt>
                <c:pt idx="94">
                  <c:v>888.65</c:v>
                </c:pt>
                <c:pt idx="95">
                  <c:v>896.38</c:v>
                </c:pt>
                <c:pt idx="96">
                  <c:v>897.79</c:v>
                </c:pt>
                <c:pt idx="97">
                  <c:v>906.9</c:v>
                </c:pt>
                <c:pt idx="98">
                  <c:v>913.69</c:v>
                </c:pt>
                <c:pt idx="99">
                  <c:v>920.03</c:v>
                </c:pt>
                <c:pt idx="100">
                  <c:v>942.64</c:v>
                </c:pt>
                <c:pt idx="101">
                  <c:v>944.04</c:v>
                </c:pt>
                <c:pt idx="102">
                  <c:v>950.65</c:v>
                </c:pt>
                <c:pt idx="103">
                  <c:v>951.89</c:v>
                </c:pt>
                <c:pt idx="104">
                  <c:v>1002.38</c:v>
                </c:pt>
                <c:pt idx="105">
                  <c:v>1022.75</c:v>
                </c:pt>
                <c:pt idx="106">
                  <c:v>1024.8900000000001</c:v>
                </c:pt>
                <c:pt idx="107">
                  <c:v>1030.0899999999999</c:v>
                </c:pt>
                <c:pt idx="108">
                  <c:v>1033.42</c:v>
                </c:pt>
                <c:pt idx="109">
                  <c:v>1044.3599999999999</c:v>
                </c:pt>
                <c:pt idx="110">
                  <c:v>1046.5</c:v>
                </c:pt>
                <c:pt idx="111">
                  <c:v>1056.96</c:v>
                </c:pt>
                <c:pt idx="112">
                  <c:v>1076.26</c:v>
                </c:pt>
                <c:pt idx="113">
                  <c:v>1085.75</c:v>
                </c:pt>
                <c:pt idx="114">
                  <c:v>1098.74</c:v>
                </c:pt>
                <c:pt idx="115">
                  <c:v>1115.6300000000001</c:v>
                </c:pt>
                <c:pt idx="116">
                  <c:v>1131.68</c:v>
                </c:pt>
                <c:pt idx="117">
                  <c:v>1180.77</c:v>
                </c:pt>
                <c:pt idx="118">
                  <c:v>1184.3399999999999</c:v>
                </c:pt>
                <c:pt idx="119">
                  <c:v>1185.8900000000001</c:v>
                </c:pt>
                <c:pt idx="120">
                  <c:v>1188.72</c:v>
                </c:pt>
                <c:pt idx="121">
                  <c:v>1199.79</c:v>
                </c:pt>
                <c:pt idx="122">
                  <c:v>1213.78</c:v>
                </c:pt>
                <c:pt idx="123">
                  <c:v>1230.75</c:v>
                </c:pt>
                <c:pt idx="124">
                  <c:v>1247</c:v>
                </c:pt>
                <c:pt idx="125">
                  <c:v>1286.94</c:v>
                </c:pt>
                <c:pt idx="126">
                  <c:v>1308.56</c:v>
                </c:pt>
                <c:pt idx="127">
                  <c:v>1322.82</c:v>
                </c:pt>
                <c:pt idx="128">
                  <c:v>1328.31</c:v>
                </c:pt>
                <c:pt idx="129">
                  <c:v>1332.94</c:v>
                </c:pt>
                <c:pt idx="130">
                  <c:v>1336.42</c:v>
                </c:pt>
                <c:pt idx="131">
                  <c:v>1338.47</c:v>
                </c:pt>
                <c:pt idx="132">
                  <c:v>1347.91</c:v>
                </c:pt>
                <c:pt idx="133">
                  <c:v>1354.26</c:v>
                </c:pt>
                <c:pt idx="134">
                  <c:v>1393.79</c:v>
                </c:pt>
                <c:pt idx="135">
                  <c:v>1397.83</c:v>
                </c:pt>
                <c:pt idx="136">
                  <c:v>1399.22</c:v>
                </c:pt>
                <c:pt idx="137">
                  <c:v>1410.62</c:v>
                </c:pt>
                <c:pt idx="138">
                  <c:v>1425.58</c:v>
                </c:pt>
                <c:pt idx="139">
                  <c:v>1441.11</c:v>
                </c:pt>
                <c:pt idx="140">
                  <c:v>1459.69</c:v>
                </c:pt>
                <c:pt idx="141">
                  <c:v>1497.35</c:v>
                </c:pt>
                <c:pt idx="142">
                  <c:v>1534.4</c:v>
                </c:pt>
                <c:pt idx="143">
                  <c:v>1542.57</c:v>
                </c:pt>
                <c:pt idx="144">
                  <c:v>1551.59</c:v>
                </c:pt>
                <c:pt idx="145">
                  <c:v>1554</c:v>
                </c:pt>
                <c:pt idx="146">
                  <c:v>1561.84</c:v>
                </c:pt>
                <c:pt idx="147">
                  <c:v>1571</c:v>
                </c:pt>
                <c:pt idx="148">
                  <c:v>1571.08</c:v>
                </c:pt>
                <c:pt idx="149">
                  <c:v>1574.15</c:v>
                </c:pt>
                <c:pt idx="150">
                  <c:v>1596.47</c:v>
                </c:pt>
                <c:pt idx="151">
                  <c:v>1649.22</c:v>
                </c:pt>
                <c:pt idx="152">
                  <c:v>1654.07</c:v>
                </c:pt>
                <c:pt idx="153">
                  <c:v>1673.38</c:v>
                </c:pt>
                <c:pt idx="154">
                  <c:v>1682.43</c:v>
                </c:pt>
                <c:pt idx="155">
                  <c:v>1733.91</c:v>
                </c:pt>
                <c:pt idx="156">
                  <c:v>1738.66</c:v>
                </c:pt>
                <c:pt idx="157">
                  <c:v>1762.85</c:v>
                </c:pt>
                <c:pt idx="158">
                  <c:v>1800.33</c:v>
                </c:pt>
                <c:pt idx="159">
                  <c:v>1800.71</c:v>
                </c:pt>
                <c:pt idx="160">
                  <c:v>1906.43</c:v>
                </c:pt>
                <c:pt idx="161">
                  <c:v>1948.62</c:v>
                </c:pt>
                <c:pt idx="162">
                  <c:v>1971.3</c:v>
                </c:pt>
                <c:pt idx="163">
                  <c:v>1971.46</c:v>
                </c:pt>
                <c:pt idx="164">
                  <c:v>1986.79</c:v>
                </c:pt>
                <c:pt idx="165">
                  <c:v>1996.87</c:v>
                </c:pt>
                <c:pt idx="166">
                  <c:v>2028.37</c:v>
                </c:pt>
                <c:pt idx="167">
                  <c:v>2028.92</c:v>
                </c:pt>
                <c:pt idx="168">
                  <c:v>2058.96</c:v>
                </c:pt>
                <c:pt idx="169">
                  <c:v>2088.42</c:v>
                </c:pt>
                <c:pt idx="170">
                  <c:v>2089.71</c:v>
                </c:pt>
                <c:pt idx="171">
                  <c:v>2103.79</c:v>
                </c:pt>
                <c:pt idx="172">
                  <c:v>2115.29</c:v>
                </c:pt>
                <c:pt idx="173">
                  <c:v>2212.9</c:v>
                </c:pt>
                <c:pt idx="174">
                  <c:v>2238.16</c:v>
                </c:pt>
                <c:pt idx="175">
                  <c:v>2466</c:v>
                </c:pt>
                <c:pt idx="176">
                  <c:v>2470.9</c:v>
                </c:pt>
                <c:pt idx="177">
                  <c:v>2478.66</c:v>
                </c:pt>
                <c:pt idx="178">
                  <c:v>2501.15</c:v>
                </c:pt>
                <c:pt idx="179">
                  <c:v>2532.1799999999998</c:v>
                </c:pt>
                <c:pt idx="180">
                  <c:v>2545.91</c:v>
                </c:pt>
                <c:pt idx="181">
                  <c:v>2546.73</c:v>
                </c:pt>
                <c:pt idx="182">
                  <c:v>2565.19</c:v>
                </c:pt>
                <c:pt idx="183">
                  <c:v>2632.59</c:v>
                </c:pt>
                <c:pt idx="184">
                  <c:v>2638.11</c:v>
                </c:pt>
                <c:pt idx="185">
                  <c:v>2663.88</c:v>
                </c:pt>
                <c:pt idx="186">
                  <c:v>2720.11</c:v>
                </c:pt>
                <c:pt idx="187">
                  <c:v>2800.59</c:v>
                </c:pt>
                <c:pt idx="188">
                  <c:v>2872.55</c:v>
                </c:pt>
                <c:pt idx="189">
                  <c:v>2964.2</c:v>
                </c:pt>
                <c:pt idx="190">
                  <c:v>2991.01</c:v>
                </c:pt>
                <c:pt idx="191">
                  <c:v>2999.57</c:v>
                </c:pt>
                <c:pt idx="192">
                  <c:v>3034.47</c:v>
                </c:pt>
                <c:pt idx="193">
                  <c:v>3057.19</c:v>
                </c:pt>
                <c:pt idx="194">
                  <c:v>3090.33</c:v>
                </c:pt>
                <c:pt idx="195">
                  <c:v>3133.82</c:v>
                </c:pt>
                <c:pt idx="196">
                  <c:v>3159.32</c:v>
                </c:pt>
                <c:pt idx="197">
                  <c:v>3227.07</c:v>
                </c:pt>
                <c:pt idx="198">
                  <c:v>3237.22</c:v>
                </c:pt>
                <c:pt idx="199">
                  <c:v>3241.74</c:v>
                </c:pt>
                <c:pt idx="200">
                  <c:v>3246.03</c:v>
                </c:pt>
                <c:pt idx="201">
                  <c:v>3270.73</c:v>
                </c:pt>
                <c:pt idx="202">
                  <c:v>3331.33</c:v>
                </c:pt>
                <c:pt idx="203">
                  <c:v>3370.75</c:v>
                </c:pt>
                <c:pt idx="204">
                  <c:v>3385.16</c:v>
                </c:pt>
                <c:pt idx="205">
                  <c:v>3439.05</c:v>
                </c:pt>
                <c:pt idx="206">
                  <c:v>3507.4</c:v>
                </c:pt>
                <c:pt idx="207">
                  <c:v>3566.89</c:v>
                </c:pt>
                <c:pt idx="208">
                  <c:v>3616.74</c:v>
                </c:pt>
                <c:pt idx="209">
                  <c:v>3692.77</c:v>
                </c:pt>
                <c:pt idx="210">
                  <c:v>3751.83</c:v>
                </c:pt>
                <c:pt idx="211">
                  <c:v>3796.01</c:v>
                </c:pt>
                <c:pt idx="212">
                  <c:v>3815.44</c:v>
                </c:pt>
                <c:pt idx="213">
                  <c:v>3828.43</c:v>
                </c:pt>
                <c:pt idx="214">
                  <c:v>3838.52</c:v>
                </c:pt>
                <c:pt idx="215">
                  <c:v>3878.02</c:v>
                </c:pt>
                <c:pt idx="216">
                  <c:v>4045.72</c:v>
                </c:pt>
                <c:pt idx="217">
                  <c:v>4117.62</c:v>
                </c:pt>
                <c:pt idx="218">
                  <c:v>4149.2700000000004</c:v>
                </c:pt>
                <c:pt idx="219">
                  <c:v>4155.1400000000003</c:v>
                </c:pt>
                <c:pt idx="220">
                  <c:v>4230.4399999999996</c:v>
                </c:pt>
                <c:pt idx="221">
                  <c:v>4488.12</c:v>
                </c:pt>
                <c:pt idx="222">
                  <c:v>4556.42</c:v>
                </c:pt>
                <c:pt idx="223">
                  <c:v>4727.04</c:v>
                </c:pt>
                <c:pt idx="224">
                  <c:v>4845.93</c:v>
                </c:pt>
                <c:pt idx="225">
                  <c:v>4949.46</c:v>
                </c:pt>
                <c:pt idx="226">
                  <c:v>5052.46</c:v>
                </c:pt>
                <c:pt idx="227">
                  <c:v>5135.34</c:v>
                </c:pt>
                <c:pt idx="228">
                  <c:v>5283.5</c:v>
                </c:pt>
                <c:pt idx="229">
                  <c:v>5513.22</c:v>
                </c:pt>
                <c:pt idx="230">
                  <c:v>5756.48</c:v>
                </c:pt>
                <c:pt idx="231">
                  <c:v>6002.66</c:v>
                </c:pt>
                <c:pt idx="232">
                  <c:v>6456.17</c:v>
                </c:pt>
                <c:pt idx="233">
                  <c:v>6730.62</c:v>
                </c:pt>
                <c:pt idx="234">
                  <c:v>6734.63</c:v>
                </c:pt>
                <c:pt idx="235">
                  <c:v>6739.97</c:v>
                </c:pt>
                <c:pt idx="236">
                  <c:v>6753.2</c:v>
                </c:pt>
                <c:pt idx="237">
                  <c:v>7020.92</c:v>
                </c:pt>
                <c:pt idx="238">
                  <c:v>7971.49</c:v>
                </c:pt>
                <c:pt idx="239">
                  <c:v>8343.65</c:v>
                </c:pt>
                <c:pt idx="240">
                  <c:v>8562.81</c:v>
                </c:pt>
                <c:pt idx="241">
                  <c:v>8620.4500000000007</c:v>
                </c:pt>
                <c:pt idx="242">
                  <c:v>8848.0300000000007</c:v>
                </c:pt>
                <c:pt idx="243">
                  <c:v>9042.64</c:v>
                </c:pt>
                <c:pt idx="244">
                  <c:v>11158.44</c:v>
                </c:pt>
                <c:pt idx="245">
                  <c:v>15050.41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F5-4BBE-AEBC-8C8F61C37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180543"/>
        <c:axId val="315182463"/>
      </c:scatterChart>
      <c:valAx>
        <c:axId val="315180543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Num_ prev_transactions</a:t>
                </a:r>
              </a:p>
            </c:rich>
          </c:tx>
          <c:layout>
            <c:manualLayout>
              <c:xMode val="edge"/>
              <c:yMode val="edge"/>
              <c:x val="0.42404420109306595"/>
              <c:y val="0.92704717963230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82463"/>
        <c:crossesAt val="0"/>
        <c:crossBetween val="midCat"/>
      </c:valAx>
      <c:valAx>
        <c:axId val="31518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Transction_amount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80543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0103631456468403"/>
          <c:y val="0.14347363580315539"/>
          <c:w val="0.21856594771905732"/>
          <c:h val="5.84419356079023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_xlchart.v1.7</cx:f>
      </cx:numDim>
    </cx:data>
  </cx:chartData>
  <cx:chart>
    <cx:title pos="t" align="ctr" overlay="0">
      <cx:tx>
        <cx:txData>
          <cx:v>Comparison of personal income: Fraud vs Non Fraud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2">
                  <a:lumMod val="75000"/>
                </a:schemeClr>
              </a:solidFill>
              <a:latin typeface="Calibri"/>
            </a:rPr>
            <a:t>Comparison of personal income: Fraud vs Non Fraud</a:t>
          </a:r>
        </a:p>
      </cx:txPr>
    </cx:title>
    <cx:plotArea>
      <cx:plotAreaRegion>
        <cx:series layoutId="boxWhisker" uniqueId="{4F08BB34-1C7E-4EB0-AD62-2EFB5877F0D3}">
          <cx:tx>
            <cx:txData>
              <cx:f>_xlchart.v1.6</cx:f>
              <cx:v>personal_income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Personal_Income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/>
                </a:rPr>
                <a:t>Personal_Income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600" b="1">
                <a:solidFill>
                  <a:schemeClr val="tx2"/>
                </a:solidFill>
              </a:rPr>
              <a:t>Comparison of Transaction Amounts: Fraud vs Non-Fraud</a:t>
            </a:r>
            <a:endParaRPr lang="en-US" sz="1600" b="1" i="0" u="none" strike="noStrike" baseline="0">
              <a:solidFill>
                <a:schemeClr val="tx2"/>
              </a:solidFill>
              <a:latin typeface="Calibri"/>
            </a:endParaRPr>
          </a:p>
        </cx:rich>
      </cx:tx>
    </cx:title>
    <cx:plotArea>
      <cx:plotAreaRegion>
        <cx:series layoutId="boxWhisker" uniqueId="{3225236D-E38F-44B8-BA41-A0AEDA9F85FE}">
          <cx:tx>
            <cx:txData>
              <cx:f>_xlchart.v1.3</cx:f>
              <cx:v>transaction_amount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Transaction_amount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/>
                </a:rPr>
                <a:t>Transaction_amount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title pos="t" align="ctr" overlay="0">
      <cx:tx>
        <cx:txData>
          <cx:v>Comparison between Loan amount and Fraud cases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Comparison between Loan amount and Fraud cases</a:t>
          </a:r>
        </a:p>
      </cx:txPr>
    </cx:title>
    <cx:plotArea>
      <cx:plotAreaRegion>
        <cx:series layoutId="boxWhisker" uniqueId="{02FF70A5-D185-45F2-B354-BB0CF84F502F}">
          <cx:tx>
            <cx:txData>
              <cx:f>_xlchart.v1.0</cx:f>
              <cx:v>loan_amount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tle>
          <cx:tx>
            <cx:txData>
              <cx:v>Fraud vs Non fraud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/>
                </a:rPr>
                <a:t>Fraud vs Non fraud</a:t>
              </a:r>
            </a:p>
          </cx:txPr>
        </cx:title>
        <cx:tickLabels/>
      </cx:axis>
      <cx:axis id="1">
        <cx:valScaling/>
        <cx:title>
          <cx:tx>
            <cx:txData>
              <cx:v>Loan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/>
                </a:rPr>
                <a:t>Loan amount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Distribution of Fraud Amounts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C3A8D36-70E0-45B4-A918-82978F6BB1D8}">
          <cx:tx>
            <cx:txData>
              <cx:f>_xlchart.v1.9</cx:f>
              <cx:v>fraud_amount</cx:v>
            </cx:txData>
          </cx:tx>
          <cx:dataId val="0"/>
          <cx:layoutPr>
            <cx:binning intervalClosed="r">
              <cx:binSize val="59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Fraud Amount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Frequency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4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9</xdr:col>
      <xdr:colOff>523875</xdr:colOff>
      <xdr:row>20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CE4E195-E989-4883-B53D-7F881EA07E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0" y="361950"/>
              <a:ext cx="5705475" cy="3371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</xdr:colOff>
      <xdr:row>2</xdr:row>
      <xdr:rowOff>1</xdr:rowOff>
    </xdr:from>
    <xdr:to>
      <xdr:col>19</xdr:col>
      <xdr:colOff>285750</xdr:colOff>
      <xdr:row>20</xdr:row>
      <xdr:rowOff>38101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815112E-00C1-45CF-A9AB-8BD90F5D2C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24701" y="361951"/>
              <a:ext cx="5467349" cy="3295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0</xdr:colOff>
      <xdr:row>2</xdr:row>
      <xdr:rowOff>0</xdr:rowOff>
    </xdr:from>
    <xdr:to>
      <xdr:col>30</xdr:col>
      <xdr:colOff>104775</xdr:colOff>
      <xdr:row>20</xdr:row>
      <xdr:rowOff>4763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CE7937A-C40C-4FE5-8CBD-A4009A9183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54000" y="361950"/>
              <a:ext cx="6581775" cy="3262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63500</xdr:colOff>
      <xdr:row>23</xdr:row>
      <xdr:rowOff>79374</xdr:rowOff>
    </xdr:from>
    <xdr:to>
      <xdr:col>30</xdr:col>
      <xdr:colOff>158750</xdr:colOff>
      <xdr:row>42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4D0491-4E4E-4480-8812-FE984CB66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603250</xdr:colOff>
      <xdr:row>23</xdr:row>
      <xdr:rowOff>125411</xdr:rowOff>
    </xdr:from>
    <xdr:to>
      <xdr:col>9</xdr:col>
      <xdr:colOff>342901</xdr:colOff>
      <xdr:row>43</xdr:row>
      <xdr:rowOff>174625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C7312E-F172-428C-8CE8-CE13106D1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55563</xdr:colOff>
      <xdr:row>24</xdr:row>
      <xdr:rowOff>63500</xdr:rowOff>
    </xdr:from>
    <xdr:to>
      <xdr:col>19</xdr:col>
      <xdr:colOff>34994</xdr:colOff>
      <xdr:row>42</xdr:row>
      <xdr:rowOff>96354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3F99139-EB5C-49DF-828C-6A6D4458D4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15188" y="4445000"/>
              <a:ext cx="5186431" cy="33189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a M" refreshedDate="45983.797456597225" createdVersion="8" refreshedVersion="8" minRefreshableVersion="3" recordCount="501" xr:uid="{B248FECD-E744-4B0A-9BF5-9E63E246B39E}">
  <cacheSource type="worksheet">
    <worksheetSource ref="P1:Q1048576" sheet="Master_data"/>
  </cacheSource>
  <cacheFields count="2">
    <cacheField name="is_fraud" numFmtId="0">
      <sharedItems containsString="0" containsBlank="1" containsNumber="1" containsInteger="1" minValue="0" maxValue="1"/>
    </cacheField>
    <cacheField name="transaction_type" numFmtId="0">
      <sharedItems containsBlank="1" count="5">
        <s v="Transfer"/>
        <s v="ATM"/>
        <s v="In-Store"/>
        <s v="Onlin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1"/>
    <x v="0"/>
  </r>
  <r>
    <n v="1"/>
    <x v="1"/>
  </r>
  <r>
    <n v="0"/>
    <x v="2"/>
  </r>
  <r>
    <n v="1"/>
    <x v="1"/>
  </r>
  <r>
    <n v="0"/>
    <x v="2"/>
  </r>
  <r>
    <n v="0"/>
    <x v="2"/>
  </r>
  <r>
    <n v="1"/>
    <x v="3"/>
  </r>
  <r>
    <n v="1"/>
    <x v="0"/>
  </r>
  <r>
    <n v="1"/>
    <x v="1"/>
  </r>
  <r>
    <n v="0"/>
    <x v="1"/>
  </r>
  <r>
    <n v="1"/>
    <x v="1"/>
  </r>
  <r>
    <n v="1"/>
    <x v="3"/>
  </r>
  <r>
    <n v="0"/>
    <x v="3"/>
  </r>
  <r>
    <n v="0"/>
    <x v="2"/>
  </r>
  <r>
    <n v="1"/>
    <x v="0"/>
  </r>
  <r>
    <n v="0"/>
    <x v="2"/>
  </r>
  <r>
    <n v="1"/>
    <x v="1"/>
  </r>
  <r>
    <n v="0"/>
    <x v="3"/>
  </r>
  <r>
    <n v="0"/>
    <x v="3"/>
  </r>
  <r>
    <n v="1"/>
    <x v="0"/>
  </r>
  <r>
    <n v="1"/>
    <x v="2"/>
  </r>
  <r>
    <n v="0"/>
    <x v="2"/>
  </r>
  <r>
    <n v="0"/>
    <x v="0"/>
  </r>
  <r>
    <n v="1"/>
    <x v="3"/>
  </r>
  <r>
    <n v="0"/>
    <x v="0"/>
  </r>
  <r>
    <n v="0"/>
    <x v="2"/>
  </r>
  <r>
    <n v="1"/>
    <x v="0"/>
  </r>
  <r>
    <n v="1"/>
    <x v="1"/>
  </r>
  <r>
    <n v="1"/>
    <x v="2"/>
  </r>
  <r>
    <n v="0"/>
    <x v="1"/>
  </r>
  <r>
    <n v="1"/>
    <x v="2"/>
  </r>
  <r>
    <n v="1"/>
    <x v="3"/>
  </r>
  <r>
    <n v="1"/>
    <x v="3"/>
  </r>
  <r>
    <n v="0"/>
    <x v="1"/>
  </r>
  <r>
    <n v="0"/>
    <x v="1"/>
  </r>
  <r>
    <n v="0"/>
    <x v="0"/>
  </r>
  <r>
    <n v="0"/>
    <x v="3"/>
  </r>
  <r>
    <n v="1"/>
    <x v="0"/>
  </r>
  <r>
    <n v="0"/>
    <x v="3"/>
  </r>
  <r>
    <n v="1"/>
    <x v="3"/>
  </r>
  <r>
    <n v="0"/>
    <x v="2"/>
  </r>
  <r>
    <n v="0"/>
    <x v="1"/>
  </r>
  <r>
    <n v="1"/>
    <x v="1"/>
  </r>
  <r>
    <n v="0"/>
    <x v="1"/>
  </r>
  <r>
    <n v="1"/>
    <x v="1"/>
  </r>
  <r>
    <n v="1"/>
    <x v="3"/>
  </r>
  <r>
    <n v="1"/>
    <x v="0"/>
  </r>
  <r>
    <n v="1"/>
    <x v="2"/>
  </r>
  <r>
    <n v="1"/>
    <x v="1"/>
  </r>
  <r>
    <n v="0"/>
    <x v="2"/>
  </r>
  <r>
    <n v="0"/>
    <x v="3"/>
  </r>
  <r>
    <n v="0"/>
    <x v="2"/>
  </r>
  <r>
    <n v="1"/>
    <x v="3"/>
  </r>
  <r>
    <n v="1"/>
    <x v="1"/>
  </r>
  <r>
    <n v="0"/>
    <x v="1"/>
  </r>
  <r>
    <n v="1"/>
    <x v="2"/>
  </r>
  <r>
    <n v="0"/>
    <x v="2"/>
  </r>
  <r>
    <n v="1"/>
    <x v="1"/>
  </r>
  <r>
    <n v="0"/>
    <x v="1"/>
  </r>
  <r>
    <n v="0"/>
    <x v="0"/>
  </r>
  <r>
    <n v="1"/>
    <x v="3"/>
  </r>
  <r>
    <n v="0"/>
    <x v="3"/>
  </r>
  <r>
    <n v="0"/>
    <x v="3"/>
  </r>
  <r>
    <n v="0"/>
    <x v="0"/>
  </r>
  <r>
    <n v="0"/>
    <x v="3"/>
  </r>
  <r>
    <n v="1"/>
    <x v="0"/>
  </r>
  <r>
    <n v="0"/>
    <x v="2"/>
  </r>
  <r>
    <n v="0"/>
    <x v="1"/>
  </r>
  <r>
    <n v="1"/>
    <x v="3"/>
  </r>
  <r>
    <n v="1"/>
    <x v="0"/>
  </r>
  <r>
    <n v="1"/>
    <x v="0"/>
  </r>
  <r>
    <n v="1"/>
    <x v="0"/>
  </r>
  <r>
    <n v="1"/>
    <x v="1"/>
  </r>
  <r>
    <n v="1"/>
    <x v="0"/>
  </r>
  <r>
    <n v="1"/>
    <x v="3"/>
  </r>
  <r>
    <n v="0"/>
    <x v="3"/>
  </r>
  <r>
    <n v="0"/>
    <x v="1"/>
  </r>
  <r>
    <n v="1"/>
    <x v="1"/>
  </r>
  <r>
    <n v="1"/>
    <x v="3"/>
  </r>
  <r>
    <n v="1"/>
    <x v="0"/>
  </r>
  <r>
    <n v="1"/>
    <x v="2"/>
  </r>
  <r>
    <n v="0"/>
    <x v="3"/>
  </r>
  <r>
    <n v="0"/>
    <x v="2"/>
  </r>
  <r>
    <n v="1"/>
    <x v="2"/>
  </r>
  <r>
    <n v="1"/>
    <x v="0"/>
  </r>
  <r>
    <n v="0"/>
    <x v="3"/>
  </r>
  <r>
    <n v="1"/>
    <x v="2"/>
  </r>
  <r>
    <n v="0"/>
    <x v="2"/>
  </r>
  <r>
    <n v="0"/>
    <x v="1"/>
  </r>
  <r>
    <n v="1"/>
    <x v="2"/>
  </r>
  <r>
    <n v="1"/>
    <x v="2"/>
  </r>
  <r>
    <n v="1"/>
    <x v="2"/>
  </r>
  <r>
    <n v="1"/>
    <x v="2"/>
  </r>
  <r>
    <n v="0"/>
    <x v="2"/>
  </r>
  <r>
    <n v="1"/>
    <x v="0"/>
  </r>
  <r>
    <n v="1"/>
    <x v="2"/>
  </r>
  <r>
    <n v="1"/>
    <x v="1"/>
  </r>
  <r>
    <n v="1"/>
    <x v="1"/>
  </r>
  <r>
    <n v="0"/>
    <x v="0"/>
  </r>
  <r>
    <n v="0"/>
    <x v="2"/>
  </r>
  <r>
    <n v="0"/>
    <x v="1"/>
  </r>
  <r>
    <n v="1"/>
    <x v="1"/>
  </r>
  <r>
    <n v="1"/>
    <x v="2"/>
  </r>
  <r>
    <n v="1"/>
    <x v="2"/>
  </r>
  <r>
    <n v="0"/>
    <x v="0"/>
  </r>
  <r>
    <n v="1"/>
    <x v="0"/>
  </r>
  <r>
    <n v="0"/>
    <x v="2"/>
  </r>
  <r>
    <n v="0"/>
    <x v="0"/>
  </r>
  <r>
    <n v="1"/>
    <x v="0"/>
  </r>
  <r>
    <n v="1"/>
    <x v="0"/>
  </r>
  <r>
    <n v="0"/>
    <x v="2"/>
  </r>
  <r>
    <n v="1"/>
    <x v="2"/>
  </r>
  <r>
    <n v="0"/>
    <x v="1"/>
  </r>
  <r>
    <n v="0"/>
    <x v="2"/>
  </r>
  <r>
    <n v="0"/>
    <x v="2"/>
  </r>
  <r>
    <n v="0"/>
    <x v="3"/>
  </r>
  <r>
    <n v="1"/>
    <x v="1"/>
  </r>
  <r>
    <n v="1"/>
    <x v="3"/>
  </r>
  <r>
    <n v="1"/>
    <x v="2"/>
  </r>
  <r>
    <n v="1"/>
    <x v="3"/>
  </r>
  <r>
    <n v="1"/>
    <x v="2"/>
  </r>
  <r>
    <n v="0"/>
    <x v="0"/>
  </r>
  <r>
    <n v="1"/>
    <x v="3"/>
  </r>
  <r>
    <n v="0"/>
    <x v="0"/>
  </r>
  <r>
    <n v="0"/>
    <x v="0"/>
  </r>
  <r>
    <n v="0"/>
    <x v="2"/>
  </r>
  <r>
    <n v="0"/>
    <x v="1"/>
  </r>
  <r>
    <n v="0"/>
    <x v="3"/>
  </r>
  <r>
    <n v="0"/>
    <x v="3"/>
  </r>
  <r>
    <n v="0"/>
    <x v="2"/>
  </r>
  <r>
    <n v="1"/>
    <x v="2"/>
  </r>
  <r>
    <n v="1"/>
    <x v="3"/>
  </r>
  <r>
    <n v="1"/>
    <x v="2"/>
  </r>
  <r>
    <n v="0"/>
    <x v="3"/>
  </r>
  <r>
    <n v="0"/>
    <x v="1"/>
  </r>
  <r>
    <n v="1"/>
    <x v="1"/>
  </r>
  <r>
    <n v="1"/>
    <x v="1"/>
  </r>
  <r>
    <n v="1"/>
    <x v="2"/>
  </r>
  <r>
    <n v="0"/>
    <x v="1"/>
  </r>
  <r>
    <n v="0"/>
    <x v="3"/>
  </r>
  <r>
    <n v="1"/>
    <x v="1"/>
  </r>
  <r>
    <n v="0"/>
    <x v="1"/>
  </r>
  <r>
    <n v="1"/>
    <x v="2"/>
  </r>
  <r>
    <n v="0"/>
    <x v="3"/>
  </r>
  <r>
    <n v="0"/>
    <x v="1"/>
  </r>
  <r>
    <n v="1"/>
    <x v="2"/>
  </r>
  <r>
    <n v="1"/>
    <x v="2"/>
  </r>
  <r>
    <n v="1"/>
    <x v="0"/>
  </r>
  <r>
    <n v="1"/>
    <x v="3"/>
  </r>
  <r>
    <n v="0"/>
    <x v="0"/>
  </r>
  <r>
    <n v="0"/>
    <x v="1"/>
  </r>
  <r>
    <n v="1"/>
    <x v="1"/>
  </r>
  <r>
    <n v="1"/>
    <x v="0"/>
  </r>
  <r>
    <n v="1"/>
    <x v="1"/>
  </r>
  <r>
    <n v="1"/>
    <x v="0"/>
  </r>
  <r>
    <n v="0"/>
    <x v="1"/>
  </r>
  <r>
    <n v="1"/>
    <x v="0"/>
  </r>
  <r>
    <n v="1"/>
    <x v="0"/>
  </r>
  <r>
    <n v="1"/>
    <x v="2"/>
  </r>
  <r>
    <n v="1"/>
    <x v="1"/>
  </r>
  <r>
    <n v="0"/>
    <x v="0"/>
  </r>
  <r>
    <n v="1"/>
    <x v="1"/>
  </r>
  <r>
    <n v="0"/>
    <x v="0"/>
  </r>
  <r>
    <n v="0"/>
    <x v="2"/>
  </r>
  <r>
    <n v="0"/>
    <x v="3"/>
  </r>
  <r>
    <n v="0"/>
    <x v="1"/>
  </r>
  <r>
    <n v="0"/>
    <x v="0"/>
  </r>
  <r>
    <n v="0"/>
    <x v="3"/>
  </r>
  <r>
    <n v="0"/>
    <x v="3"/>
  </r>
  <r>
    <n v="0"/>
    <x v="2"/>
  </r>
  <r>
    <n v="0"/>
    <x v="0"/>
  </r>
  <r>
    <n v="1"/>
    <x v="0"/>
  </r>
  <r>
    <n v="1"/>
    <x v="0"/>
  </r>
  <r>
    <n v="0"/>
    <x v="2"/>
  </r>
  <r>
    <n v="1"/>
    <x v="0"/>
  </r>
  <r>
    <n v="0"/>
    <x v="0"/>
  </r>
  <r>
    <n v="1"/>
    <x v="3"/>
  </r>
  <r>
    <n v="0"/>
    <x v="0"/>
  </r>
  <r>
    <n v="0"/>
    <x v="0"/>
  </r>
  <r>
    <n v="1"/>
    <x v="1"/>
  </r>
  <r>
    <n v="0"/>
    <x v="3"/>
  </r>
  <r>
    <n v="1"/>
    <x v="0"/>
  </r>
  <r>
    <n v="1"/>
    <x v="1"/>
  </r>
  <r>
    <n v="0"/>
    <x v="1"/>
  </r>
  <r>
    <n v="1"/>
    <x v="1"/>
  </r>
  <r>
    <n v="1"/>
    <x v="2"/>
  </r>
  <r>
    <n v="0"/>
    <x v="1"/>
  </r>
  <r>
    <n v="1"/>
    <x v="1"/>
  </r>
  <r>
    <n v="1"/>
    <x v="1"/>
  </r>
  <r>
    <n v="0"/>
    <x v="1"/>
  </r>
  <r>
    <n v="0"/>
    <x v="0"/>
  </r>
  <r>
    <n v="1"/>
    <x v="0"/>
  </r>
  <r>
    <n v="0"/>
    <x v="2"/>
  </r>
  <r>
    <n v="1"/>
    <x v="1"/>
  </r>
  <r>
    <n v="0"/>
    <x v="0"/>
  </r>
  <r>
    <n v="1"/>
    <x v="1"/>
  </r>
  <r>
    <n v="1"/>
    <x v="1"/>
  </r>
  <r>
    <n v="0"/>
    <x v="1"/>
  </r>
  <r>
    <n v="0"/>
    <x v="0"/>
  </r>
  <r>
    <n v="1"/>
    <x v="1"/>
  </r>
  <r>
    <n v="1"/>
    <x v="0"/>
  </r>
  <r>
    <n v="0"/>
    <x v="0"/>
  </r>
  <r>
    <n v="1"/>
    <x v="2"/>
  </r>
  <r>
    <n v="0"/>
    <x v="0"/>
  </r>
  <r>
    <n v="1"/>
    <x v="3"/>
  </r>
  <r>
    <n v="1"/>
    <x v="2"/>
  </r>
  <r>
    <n v="0"/>
    <x v="3"/>
  </r>
  <r>
    <n v="0"/>
    <x v="3"/>
  </r>
  <r>
    <n v="1"/>
    <x v="3"/>
  </r>
  <r>
    <n v="1"/>
    <x v="1"/>
  </r>
  <r>
    <n v="1"/>
    <x v="3"/>
  </r>
  <r>
    <n v="0"/>
    <x v="2"/>
  </r>
  <r>
    <n v="0"/>
    <x v="3"/>
  </r>
  <r>
    <n v="0"/>
    <x v="0"/>
  </r>
  <r>
    <n v="1"/>
    <x v="2"/>
  </r>
  <r>
    <n v="0"/>
    <x v="3"/>
  </r>
  <r>
    <n v="0"/>
    <x v="3"/>
  </r>
  <r>
    <n v="1"/>
    <x v="0"/>
  </r>
  <r>
    <n v="0"/>
    <x v="1"/>
  </r>
  <r>
    <n v="1"/>
    <x v="3"/>
  </r>
  <r>
    <n v="1"/>
    <x v="2"/>
  </r>
  <r>
    <n v="0"/>
    <x v="3"/>
  </r>
  <r>
    <n v="1"/>
    <x v="0"/>
  </r>
  <r>
    <n v="0"/>
    <x v="3"/>
  </r>
  <r>
    <n v="1"/>
    <x v="1"/>
  </r>
  <r>
    <n v="1"/>
    <x v="0"/>
  </r>
  <r>
    <n v="1"/>
    <x v="1"/>
  </r>
  <r>
    <n v="1"/>
    <x v="0"/>
  </r>
  <r>
    <n v="1"/>
    <x v="3"/>
  </r>
  <r>
    <n v="1"/>
    <x v="0"/>
  </r>
  <r>
    <n v="0"/>
    <x v="2"/>
  </r>
  <r>
    <n v="0"/>
    <x v="0"/>
  </r>
  <r>
    <n v="1"/>
    <x v="2"/>
  </r>
  <r>
    <n v="0"/>
    <x v="0"/>
  </r>
  <r>
    <n v="0"/>
    <x v="0"/>
  </r>
  <r>
    <n v="1"/>
    <x v="3"/>
  </r>
  <r>
    <n v="0"/>
    <x v="1"/>
  </r>
  <r>
    <n v="0"/>
    <x v="0"/>
  </r>
  <r>
    <n v="1"/>
    <x v="0"/>
  </r>
  <r>
    <n v="1"/>
    <x v="1"/>
  </r>
  <r>
    <n v="1"/>
    <x v="3"/>
  </r>
  <r>
    <n v="1"/>
    <x v="2"/>
  </r>
  <r>
    <n v="0"/>
    <x v="3"/>
  </r>
  <r>
    <n v="1"/>
    <x v="1"/>
  </r>
  <r>
    <n v="1"/>
    <x v="2"/>
  </r>
  <r>
    <n v="1"/>
    <x v="3"/>
  </r>
  <r>
    <n v="0"/>
    <x v="3"/>
  </r>
  <r>
    <n v="1"/>
    <x v="2"/>
  </r>
  <r>
    <n v="1"/>
    <x v="2"/>
  </r>
  <r>
    <n v="0"/>
    <x v="1"/>
  </r>
  <r>
    <n v="0"/>
    <x v="1"/>
  </r>
  <r>
    <n v="0"/>
    <x v="1"/>
  </r>
  <r>
    <n v="0"/>
    <x v="3"/>
  </r>
  <r>
    <n v="0"/>
    <x v="2"/>
  </r>
  <r>
    <n v="0"/>
    <x v="1"/>
  </r>
  <r>
    <n v="0"/>
    <x v="1"/>
  </r>
  <r>
    <n v="1"/>
    <x v="1"/>
  </r>
  <r>
    <n v="1"/>
    <x v="0"/>
  </r>
  <r>
    <n v="1"/>
    <x v="0"/>
  </r>
  <r>
    <n v="1"/>
    <x v="3"/>
  </r>
  <r>
    <n v="0"/>
    <x v="0"/>
  </r>
  <r>
    <n v="1"/>
    <x v="0"/>
  </r>
  <r>
    <n v="0"/>
    <x v="2"/>
  </r>
  <r>
    <n v="0"/>
    <x v="0"/>
  </r>
  <r>
    <n v="1"/>
    <x v="1"/>
  </r>
  <r>
    <n v="0"/>
    <x v="1"/>
  </r>
  <r>
    <n v="1"/>
    <x v="1"/>
  </r>
  <r>
    <n v="0"/>
    <x v="1"/>
  </r>
  <r>
    <n v="1"/>
    <x v="3"/>
  </r>
  <r>
    <n v="0"/>
    <x v="0"/>
  </r>
  <r>
    <n v="0"/>
    <x v="0"/>
  </r>
  <r>
    <n v="1"/>
    <x v="2"/>
  </r>
  <r>
    <n v="1"/>
    <x v="0"/>
  </r>
  <r>
    <n v="1"/>
    <x v="1"/>
  </r>
  <r>
    <n v="1"/>
    <x v="0"/>
  </r>
  <r>
    <n v="1"/>
    <x v="2"/>
  </r>
  <r>
    <n v="0"/>
    <x v="1"/>
  </r>
  <r>
    <n v="1"/>
    <x v="3"/>
  </r>
  <r>
    <n v="1"/>
    <x v="1"/>
  </r>
  <r>
    <n v="1"/>
    <x v="2"/>
  </r>
  <r>
    <n v="0"/>
    <x v="1"/>
  </r>
  <r>
    <n v="0"/>
    <x v="2"/>
  </r>
  <r>
    <n v="0"/>
    <x v="3"/>
  </r>
  <r>
    <n v="1"/>
    <x v="3"/>
  </r>
  <r>
    <n v="0"/>
    <x v="1"/>
  </r>
  <r>
    <n v="0"/>
    <x v="0"/>
  </r>
  <r>
    <n v="1"/>
    <x v="0"/>
  </r>
  <r>
    <n v="1"/>
    <x v="3"/>
  </r>
  <r>
    <n v="0"/>
    <x v="2"/>
  </r>
  <r>
    <n v="0"/>
    <x v="1"/>
  </r>
  <r>
    <n v="1"/>
    <x v="3"/>
  </r>
  <r>
    <n v="1"/>
    <x v="0"/>
  </r>
  <r>
    <n v="0"/>
    <x v="3"/>
  </r>
  <r>
    <n v="0"/>
    <x v="0"/>
  </r>
  <r>
    <n v="0"/>
    <x v="2"/>
  </r>
  <r>
    <n v="1"/>
    <x v="1"/>
  </r>
  <r>
    <n v="1"/>
    <x v="0"/>
  </r>
  <r>
    <n v="1"/>
    <x v="0"/>
  </r>
  <r>
    <n v="0"/>
    <x v="1"/>
  </r>
  <r>
    <n v="0"/>
    <x v="0"/>
  </r>
  <r>
    <n v="0"/>
    <x v="2"/>
  </r>
  <r>
    <n v="0"/>
    <x v="2"/>
  </r>
  <r>
    <n v="1"/>
    <x v="2"/>
  </r>
  <r>
    <n v="1"/>
    <x v="3"/>
  </r>
  <r>
    <n v="0"/>
    <x v="2"/>
  </r>
  <r>
    <n v="0"/>
    <x v="1"/>
  </r>
  <r>
    <n v="0"/>
    <x v="0"/>
  </r>
  <r>
    <n v="0"/>
    <x v="2"/>
  </r>
  <r>
    <n v="1"/>
    <x v="3"/>
  </r>
  <r>
    <n v="0"/>
    <x v="3"/>
  </r>
  <r>
    <n v="0"/>
    <x v="2"/>
  </r>
  <r>
    <n v="1"/>
    <x v="0"/>
  </r>
  <r>
    <n v="0"/>
    <x v="3"/>
  </r>
  <r>
    <n v="0"/>
    <x v="3"/>
  </r>
  <r>
    <n v="0"/>
    <x v="0"/>
  </r>
  <r>
    <n v="0"/>
    <x v="1"/>
  </r>
  <r>
    <n v="1"/>
    <x v="2"/>
  </r>
  <r>
    <n v="1"/>
    <x v="0"/>
  </r>
  <r>
    <n v="0"/>
    <x v="3"/>
  </r>
  <r>
    <n v="0"/>
    <x v="1"/>
  </r>
  <r>
    <n v="1"/>
    <x v="1"/>
  </r>
  <r>
    <n v="0"/>
    <x v="3"/>
  </r>
  <r>
    <n v="1"/>
    <x v="1"/>
  </r>
  <r>
    <n v="1"/>
    <x v="1"/>
  </r>
  <r>
    <n v="1"/>
    <x v="2"/>
  </r>
  <r>
    <n v="0"/>
    <x v="1"/>
  </r>
  <r>
    <n v="0"/>
    <x v="1"/>
  </r>
  <r>
    <n v="1"/>
    <x v="3"/>
  </r>
  <r>
    <n v="0"/>
    <x v="1"/>
  </r>
  <r>
    <n v="0"/>
    <x v="0"/>
  </r>
  <r>
    <n v="1"/>
    <x v="2"/>
  </r>
  <r>
    <n v="1"/>
    <x v="2"/>
  </r>
  <r>
    <n v="0"/>
    <x v="1"/>
  </r>
  <r>
    <n v="1"/>
    <x v="2"/>
  </r>
  <r>
    <n v="1"/>
    <x v="0"/>
  </r>
  <r>
    <n v="0"/>
    <x v="3"/>
  </r>
  <r>
    <n v="0"/>
    <x v="3"/>
  </r>
  <r>
    <n v="0"/>
    <x v="3"/>
  </r>
  <r>
    <n v="0"/>
    <x v="3"/>
  </r>
  <r>
    <n v="0"/>
    <x v="0"/>
  </r>
  <r>
    <n v="1"/>
    <x v="1"/>
  </r>
  <r>
    <n v="0"/>
    <x v="0"/>
  </r>
  <r>
    <n v="1"/>
    <x v="2"/>
  </r>
  <r>
    <n v="0"/>
    <x v="0"/>
  </r>
  <r>
    <n v="0"/>
    <x v="1"/>
  </r>
  <r>
    <n v="0"/>
    <x v="3"/>
  </r>
  <r>
    <n v="0"/>
    <x v="2"/>
  </r>
  <r>
    <n v="0"/>
    <x v="3"/>
  </r>
  <r>
    <n v="0"/>
    <x v="1"/>
  </r>
  <r>
    <n v="0"/>
    <x v="2"/>
  </r>
  <r>
    <n v="0"/>
    <x v="1"/>
  </r>
  <r>
    <n v="0"/>
    <x v="0"/>
  </r>
  <r>
    <n v="1"/>
    <x v="2"/>
  </r>
  <r>
    <n v="1"/>
    <x v="0"/>
  </r>
  <r>
    <n v="1"/>
    <x v="0"/>
  </r>
  <r>
    <n v="0"/>
    <x v="0"/>
  </r>
  <r>
    <n v="1"/>
    <x v="1"/>
  </r>
  <r>
    <n v="0"/>
    <x v="3"/>
  </r>
  <r>
    <n v="1"/>
    <x v="3"/>
  </r>
  <r>
    <n v="0"/>
    <x v="2"/>
  </r>
  <r>
    <n v="1"/>
    <x v="3"/>
  </r>
  <r>
    <n v="1"/>
    <x v="0"/>
  </r>
  <r>
    <n v="1"/>
    <x v="3"/>
  </r>
  <r>
    <n v="0"/>
    <x v="2"/>
  </r>
  <r>
    <n v="1"/>
    <x v="3"/>
  </r>
  <r>
    <n v="0"/>
    <x v="0"/>
  </r>
  <r>
    <n v="1"/>
    <x v="1"/>
  </r>
  <r>
    <n v="1"/>
    <x v="2"/>
  </r>
  <r>
    <n v="0"/>
    <x v="2"/>
  </r>
  <r>
    <n v="0"/>
    <x v="1"/>
  </r>
  <r>
    <n v="1"/>
    <x v="2"/>
  </r>
  <r>
    <n v="1"/>
    <x v="2"/>
  </r>
  <r>
    <n v="0"/>
    <x v="3"/>
  </r>
  <r>
    <n v="0"/>
    <x v="3"/>
  </r>
  <r>
    <n v="0"/>
    <x v="1"/>
  </r>
  <r>
    <n v="0"/>
    <x v="3"/>
  </r>
  <r>
    <n v="1"/>
    <x v="0"/>
  </r>
  <r>
    <n v="0"/>
    <x v="3"/>
  </r>
  <r>
    <n v="0"/>
    <x v="3"/>
  </r>
  <r>
    <n v="0"/>
    <x v="1"/>
  </r>
  <r>
    <n v="0"/>
    <x v="0"/>
  </r>
  <r>
    <n v="1"/>
    <x v="3"/>
  </r>
  <r>
    <n v="1"/>
    <x v="2"/>
  </r>
  <r>
    <n v="1"/>
    <x v="3"/>
  </r>
  <r>
    <n v="0"/>
    <x v="1"/>
  </r>
  <r>
    <n v="1"/>
    <x v="0"/>
  </r>
  <r>
    <n v="0"/>
    <x v="1"/>
  </r>
  <r>
    <n v="1"/>
    <x v="1"/>
  </r>
  <r>
    <n v="1"/>
    <x v="3"/>
  </r>
  <r>
    <n v="0"/>
    <x v="1"/>
  </r>
  <r>
    <n v="0"/>
    <x v="2"/>
  </r>
  <r>
    <n v="0"/>
    <x v="1"/>
  </r>
  <r>
    <n v="1"/>
    <x v="0"/>
  </r>
  <r>
    <n v="1"/>
    <x v="1"/>
  </r>
  <r>
    <n v="0"/>
    <x v="2"/>
  </r>
  <r>
    <n v="0"/>
    <x v="0"/>
  </r>
  <r>
    <n v="0"/>
    <x v="0"/>
  </r>
  <r>
    <n v="0"/>
    <x v="1"/>
  </r>
  <r>
    <n v="1"/>
    <x v="1"/>
  </r>
  <r>
    <n v="1"/>
    <x v="0"/>
  </r>
  <r>
    <n v="1"/>
    <x v="3"/>
  </r>
  <r>
    <n v="1"/>
    <x v="1"/>
  </r>
  <r>
    <n v="0"/>
    <x v="0"/>
  </r>
  <r>
    <n v="0"/>
    <x v="2"/>
  </r>
  <r>
    <n v="1"/>
    <x v="3"/>
  </r>
  <r>
    <n v="1"/>
    <x v="2"/>
  </r>
  <r>
    <n v="0"/>
    <x v="1"/>
  </r>
  <r>
    <n v="1"/>
    <x v="2"/>
  </r>
  <r>
    <n v="1"/>
    <x v="0"/>
  </r>
  <r>
    <n v="0"/>
    <x v="3"/>
  </r>
  <r>
    <n v="0"/>
    <x v="3"/>
  </r>
  <r>
    <n v="1"/>
    <x v="0"/>
  </r>
  <r>
    <n v="0"/>
    <x v="0"/>
  </r>
  <r>
    <n v="0"/>
    <x v="3"/>
  </r>
  <r>
    <n v="0"/>
    <x v="2"/>
  </r>
  <r>
    <n v="1"/>
    <x v="0"/>
  </r>
  <r>
    <n v="0"/>
    <x v="3"/>
  </r>
  <r>
    <n v="1"/>
    <x v="1"/>
  </r>
  <r>
    <n v="1"/>
    <x v="3"/>
  </r>
  <r>
    <n v="0"/>
    <x v="1"/>
  </r>
  <r>
    <n v="0"/>
    <x v="0"/>
  </r>
  <r>
    <n v="1"/>
    <x v="0"/>
  </r>
  <r>
    <n v="0"/>
    <x v="1"/>
  </r>
  <r>
    <n v="0"/>
    <x v="2"/>
  </r>
  <r>
    <n v="0"/>
    <x v="3"/>
  </r>
  <r>
    <n v="0"/>
    <x v="3"/>
  </r>
  <r>
    <n v="1"/>
    <x v="2"/>
  </r>
  <r>
    <n v="0"/>
    <x v="0"/>
  </r>
  <r>
    <n v="1"/>
    <x v="3"/>
  </r>
  <r>
    <n v="0"/>
    <x v="3"/>
  </r>
  <r>
    <n v="1"/>
    <x v="1"/>
  </r>
  <r>
    <n v="1"/>
    <x v="1"/>
  </r>
  <r>
    <n v="1"/>
    <x v="1"/>
  </r>
  <r>
    <n v="1"/>
    <x v="0"/>
  </r>
  <r>
    <n v="0"/>
    <x v="0"/>
  </r>
  <r>
    <n v="0"/>
    <x v="0"/>
  </r>
  <r>
    <n v="0"/>
    <x v="0"/>
  </r>
  <r>
    <n v="0"/>
    <x v="2"/>
  </r>
  <r>
    <n v="1"/>
    <x v="3"/>
  </r>
  <r>
    <n v="1"/>
    <x v="1"/>
  </r>
  <r>
    <n v="0"/>
    <x v="3"/>
  </r>
  <r>
    <n v="0"/>
    <x v="0"/>
  </r>
  <r>
    <n v="1"/>
    <x v="2"/>
  </r>
  <r>
    <n v="1"/>
    <x v="2"/>
  </r>
  <r>
    <n v="0"/>
    <x v="3"/>
  </r>
  <r>
    <n v="1"/>
    <x v="1"/>
  </r>
  <r>
    <n v="0"/>
    <x v="1"/>
  </r>
  <r>
    <n v="0"/>
    <x v="3"/>
  </r>
  <r>
    <n v="1"/>
    <x v="0"/>
  </r>
  <r>
    <n v="1"/>
    <x v="3"/>
  </r>
  <r>
    <n v="1"/>
    <x v="2"/>
  </r>
  <r>
    <n v="0"/>
    <x v="0"/>
  </r>
  <r>
    <n v="1"/>
    <x v="3"/>
  </r>
  <r>
    <n v="0"/>
    <x v="0"/>
  </r>
  <r>
    <n v="1"/>
    <x v="0"/>
  </r>
  <r>
    <n v="0"/>
    <x v="2"/>
  </r>
  <r>
    <n v="0"/>
    <x v="0"/>
  </r>
  <r>
    <n v="1"/>
    <x v="3"/>
  </r>
  <r>
    <n v="1"/>
    <x v="2"/>
  </r>
  <r>
    <n v="0"/>
    <x v="1"/>
  </r>
  <r>
    <n v="0"/>
    <x v="3"/>
  </r>
  <r>
    <n v="1"/>
    <x v="3"/>
  </r>
  <r>
    <n v="0"/>
    <x v="0"/>
  </r>
  <r>
    <n v="0"/>
    <x v="0"/>
  </r>
  <r>
    <n v="0"/>
    <x v="0"/>
  </r>
  <r>
    <n v="1"/>
    <x v="1"/>
  </r>
  <r>
    <n v="0"/>
    <x v="3"/>
  </r>
  <r>
    <n v="1"/>
    <x v="0"/>
  </r>
  <r>
    <n v="0"/>
    <x v="3"/>
  </r>
  <r>
    <n v="0"/>
    <x v="3"/>
  </r>
  <r>
    <n v="0"/>
    <x v="0"/>
  </r>
  <r>
    <n v="0"/>
    <x v="2"/>
  </r>
  <r>
    <n v="1"/>
    <x v="2"/>
  </r>
  <r>
    <n v="0"/>
    <x v="0"/>
  </r>
  <r>
    <n v="0"/>
    <x v="0"/>
  </r>
  <r>
    <n v="0"/>
    <x v="2"/>
  </r>
  <r>
    <n v="1"/>
    <x v="2"/>
  </r>
  <r>
    <n v="0"/>
    <x v="0"/>
  </r>
  <r>
    <n v="0"/>
    <x v="3"/>
  </r>
  <r>
    <n v="1"/>
    <x v="1"/>
  </r>
  <r>
    <n v="1"/>
    <x v="2"/>
  </r>
  <r>
    <n v="1"/>
    <x v="0"/>
  </r>
  <r>
    <n v="1"/>
    <x v="2"/>
  </r>
  <r>
    <n v="1"/>
    <x v="1"/>
  </r>
  <r>
    <n v="0"/>
    <x v="3"/>
  </r>
  <r>
    <n v="0"/>
    <x v="2"/>
  </r>
  <r>
    <n v="0"/>
    <x v="0"/>
  </r>
  <r>
    <n v="0"/>
    <x v="3"/>
  </r>
  <r>
    <n v="0"/>
    <x v="2"/>
  </r>
  <r>
    <n v="1"/>
    <x v="0"/>
  </r>
  <r>
    <n v="1"/>
    <x v="1"/>
  </r>
  <r>
    <n v="0"/>
    <x v="3"/>
  </r>
  <r>
    <n v="1"/>
    <x v="2"/>
  </r>
  <r>
    <n v="1"/>
    <x v="1"/>
  </r>
  <r>
    <n v="1"/>
    <x v="3"/>
  </r>
  <r>
    <n v="1"/>
    <x v="2"/>
  </r>
  <r>
    <n v="0"/>
    <x v="1"/>
  </r>
  <r>
    <n v="1"/>
    <x v="1"/>
  </r>
  <r>
    <n v="0"/>
    <x v="3"/>
  </r>
  <r>
    <n v="1"/>
    <x v="2"/>
  </r>
  <r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94D25-0101-4296-8FC8-281DB4B4DC9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2">
    <pivotField showAll="0"/>
    <pivotField axis="axisRow" dataField="1" showAll="0">
      <items count="6">
        <item x="1"/>
        <item x="2"/>
        <item x="3"/>
        <item x="0"/>
        <item h="1"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ansaction_type" fld="1" subtotal="count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1"/>
  <sheetViews>
    <sheetView showGridLines="0" tabSelected="1" topLeftCell="P1" zoomScale="80" zoomScaleNormal="80" workbookViewId="0">
      <selection activeCell="L17" sqref="L17"/>
    </sheetView>
  </sheetViews>
  <sheetFormatPr defaultRowHeight="14.25" x14ac:dyDescent="0.45"/>
  <cols>
    <col min="1" max="1" width="18.796875" style="8" bestFit="1" customWidth="1"/>
    <col min="2" max="2" width="10.86328125" style="8" bestFit="1" customWidth="1"/>
    <col min="3" max="7" width="9.06640625" style="8"/>
    <col min="8" max="8" width="12.6640625" style="8" bestFit="1" customWidth="1"/>
    <col min="9" max="9" width="10.6640625" style="8" bestFit="1" customWidth="1"/>
    <col min="10" max="10" width="8" style="8" bestFit="1" customWidth="1"/>
    <col min="11" max="11" width="10.796875" style="8" bestFit="1" customWidth="1"/>
    <col min="12" max="12" width="21.796875" style="8" bestFit="1" customWidth="1"/>
    <col min="13" max="13" width="16.796875" style="8" bestFit="1" customWidth="1"/>
    <col min="14" max="14" width="14.796875" style="8" bestFit="1" customWidth="1"/>
    <col min="15" max="15" width="21.796875" style="8" customWidth="1"/>
    <col min="16" max="16" width="17" style="8" customWidth="1"/>
    <col min="17" max="17" width="14.53125" style="8" bestFit="1" customWidth="1"/>
    <col min="18" max="18" width="9.06640625" style="8"/>
    <col min="19" max="19" width="15.6640625" style="8" bestFit="1" customWidth="1"/>
    <col min="20" max="20" width="20.1328125" style="8" bestFit="1" customWidth="1"/>
    <col min="21" max="21" width="23.46484375" style="8" bestFit="1" customWidth="1"/>
    <col min="22" max="24" width="9.06640625" style="8"/>
    <col min="25" max="25" width="9.53125" style="8" bestFit="1" customWidth="1"/>
    <col min="26" max="26" width="30.19921875" style="8" customWidth="1"/>
    <col min="27" max="30" width="25.796875" style="8" customWidth="1"/>
    <col min="31" max="32" width="0" style="8" hidden="1" customWidth="1"/>
    <col min="33" max="34" width="9.06640625" style="8"/>
    <col min="35" max="35" width="19.33203125" style="8" bestFit="1" customWidth="1"/>
    <col min="36" max="16384" width="9.06640625" style="8"/>
  </cols>
  <sheetData>
    <row r="1" spans="1:39" s="19" customFormat="1" x14ac:dyDescent="0.4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8</v>
      </c>
      <c r="I1" s="13" t="s">
        <v>9</v>
      </c>
      <c r="J1" s="13" t="s">
        <v>11</v>
      </c>
      <c r="K1" s="13" t="s">
        <v>12</v>
      </c>
      <c r="L1" s="13" t="s">
        <v>13</v>
      </c>
      <c r="M1" s="13" t="s">
        <v>10</v>
      </c>
      <c r="N1" s="13" t="s">
        <v>7</v>
      </c>
      <c r="O1" s="13" t="s">
        <v>1050</v>
      </c>
      <c r="P1" s="13" t="s">
        <v>21</v>
      </c>
      <c r="Q1" s="13" t="s">
        <v>14</v>
      </c>
      <c r="R1" s="13" t="s">
        <v>15</v>
      </c>
      <c r="S1" s="13" t="s">
        <v>16</v>
      </c>
      <c r="T1" s="13" t="s">
        <v>17</v>
      </c>
      <c r="U1" s="13" t="s">
        <v>18</v>
      </c>
      <c r="V1" s="13" t="s">
        <v>19</v>
      </c>
      <c r="W1" s="13" t="s">
        <v>20</v>
      </c>
      <c r="X1" s="13" t="s">
        <v>22</v>
      </c>
      <c r="Y1" s="14" t="s">
        <v>1046</v>
      </c>
      <c r="Z1" s="15" t="s">
        <v>1045</v>
      </c>
      <c r="AA1" s="15" t="s">
        <v>1047</v>
      </c>
      <c r="AB1" s="16" t="s">
        <v>1048</v>
      </c>
      <c r="AC1" s="16" t="s">
        <v>1049</v>
      </c>
      <c r="AD1" s="18"/>
      <c r="AI1" s="17" t="s">
        <v>1031</v>
      </c>
      <c r="AJ1" s="17" t="s">
        <v>1032</v>
      </c>
      <c r="AK1" s="17" t="s">
        <v>1033</v>
      </c>
      <c r="AL1" s="17" t="s">
        <v>1034</v>
      </c>
      <c r="AM1" s="17" t="s">
        <v>1035</v>
      </c>
    </row>
    <row r="2" spans="1:39" x14ac:dyDescent="0.45">
      <c r="A2" s="8" t="s">
        <v>357</v>
      </c>
      <c r="B2" s="8" t="s">
        <v>852</v>
      </c>
      <c r="C2" s="8">
        <v>64.599999999999994</v>
      </c>
      <c r="D2" s="8" t="s">
        <v>1010</v>
      </c>
      <c r="E2" s="8" t="s">
        <v>1012</v>
      </c>
      <c r="F2" s="8" t="s">
        <v>1016</v>
      </c>
      <c r="G2" s="8" t="s">
        <v>1020</v>
      </c>
      <c r="H2" s="8">
        <v>123109.1</v>
      </c>
      <c r="I2" s="8">
        <v>591</v>
      </c>
      <c r="J2" s="8">
        <v>0</v>
      </c>
      <c r="K2" s="8">
        <v>1</v>
      </c>
      <c r="L2" s="8">
        <v>10</v>
      </c>
      <c r="M2" s="8">
        <v>3172.77</v>
      </c>
      <c r="N2" s="8">
        <v>101994.44</v>
      </c>
      <c r="O2" s="8" t="str">
        <f>IF(P2=1, "Fraud", "Not Fraud")</f>
        <v>Fraud</v>
      </c>
      <c r="P2" s="8">
        <v>1</v>
      </c>
      <c r="Q2" s="8" t="s">
        <v>1027</v>
      </c>
      <c r="R2" s="8" t="s">
        <v>1030</v>
      </c>
      <c r="S2" s="8">
        <v>4395</v>
      </c>
      <c r="T2" s="8">
        <v>74</v>
      </c>
      <c r="U2" s="8">
        <v>7635.44</v>
      </c>
      <c r="V2" s="8">
        <v>4.4000000000000004</v>
      </c>
      <c r="W2" s="8">
        <v>6.3</v>
      </c>
      <c r="X2" s="8">
        <v>9.6300000000000008</v>
      </c>
      <c r="Y2" s="20" t="str">
        <f t="shared" ref="Y2:Y65" si="0">IF(OR(L2&lt;$AF$10,L2&gt;$AF$11),"Outlier","Normal")</f>
        <v>Normal</v>
      </c>
      <c r="Z2" s="20">
        <f t="shared" ref="Z2:Z65" si="1">(L2-$AK$9)/$AM$9</f>
        <v>-0.95172471050457152</v>
      </c>
      <c r="AA2" s="20">
        <f t="shared" ref="AA2:AA65" si="2">(M2-$AK$6)/$AM$6</f>
        <v>-0.83425380898282653</v>
      </c>
      <c r="AB2" s="20">
        <f t="shared" ref="AB2:AB65" si="3">(N2-$AK$3)/$AM$3</f>
        <v>2.1672296660138137</v>
      </c>
      <c r="AC2" s="20">
        <f t="shared" ref="AC2:AC65" si="4">(H2-$AK$4)/$AM$4</f>
        <v>1.3682849440888263</v>
      </c>
      <c r="AD2" s="20"/>
      <c r="AG2" s="9"/>
      <c r="AI2" s="12" t="s">
        <v>2</v>
      </c>
      <c r="AJ2" s="12">
        <v>500</v>
      </c>
      <c r="AK2" s="12">
        <v>50.107399999999998</v>
      </c>
      <c r="AL2" s="12">
        <v>50.2</v>
      </c>
      <c r="AM2" s="12">
        <v>14.41939677124161</v>
      </c>
    </row>
    <row r="3" spans="1:39" x14ac:dyDescent="0.45">
      <c r="A3" s="8" t="s">
        <v>182</v>
      </c>
      <c r="B3" s="8" t="s">
        <v>680</v>
      </c>
      <c r="C3" s="8">
        <v>59.8</v>
      </c>
      <c r="D3" s="8" t="s">
        <v>1010</v>
      </c>
      <c r="E3" s="8" t="s">
        <v>1013</v>
      </c>
      <c r="F3" s="8" t="s">
        <v>1016</v>
      </c>
      <c r="G3" s="8" t="s">
        <v>1020</v>
      </c>
      <c r="H3" s="8">
        <v>88419.86</v>
      </c>
      <c r="I3" s="8">
        <v>668</v>
      </c>
      <c r="J3" s="8">
        <v>1</v>
      </c>
      <c r="K3" s="8">
        <v>1</v>
      </c>
      <c r="L3" s="8">
        <v>14.23</v>
      </c>
      <c r="M3" s="8">
        <v>32104.73</v>
      </c>
      <c r="N3" s="8">
        <v>63047.1</v>
      </c>
      <c r="O3" s="8" t="str">
        <f t="shared" ref="O3:O66" si="5">IF(P3=1, "Fraud", "Not Fraud")</f>
        <v>Fraud</v>
      </c>
      <c r="P3" s="8">
        <v>1</v>
      </c>
      <c r="Q3" s="8" t="s">
        <v>1026</v>
      </c>
      <c r="R3" s="8" t="s">
        <v>1028</v>
      </c>
      <c r="S3" s="8">
        <v>4685</v>
      </c>
      <c r="T3" s="8">
        <v>94</v>
      </c>
      <c r="U3" s="8">
        <v>2943.39</v>
      </c>
      <c r="V3" s="8">
        <v>6.5</v>
      </c>
      <c r="W3" s="8">
        <v>0.5</v>
      </c>
      <c r="X3" s="8">
        <v>7.88</v>
      </c>
      <c r="Y3" s="20" t="str">
        <f t="shared" si="0"/>
        <v>Normal</v>
      </c>
      <c r="Z3" s="20">
        <f t="shared" si="1"/>
        <v>-0.94970614086394967</v>
      </c>
      <c r="AA3" s="20">
        <f t="shared" si="2"/>
        <v>0.60960825750345193</v>
      </c>
      <c r="AB3" s="20">
        <f t="shared" si="3"/>
        <v>0.14691804922167878</v>
      </c>
      <c r="AC3" s="20">
        <f t="shared" si="4"/>
        <v>-8.7674017831782802E-2</v>
      </c>
      <c r="AD3" s="20"/>
      <c r="AI3" s="12" t="s">
        <v>7</v>
      </c>
      <c r="AJ3" s="12">
        <v>500</v>
      </c>
      <c r="AK3" s="12">
        <v>60214.830379999992</v>
      </c>
      <c r="AL3" s="12">
        <v>60076.28</v>
      </c>
      <c r="AM3" s="12">
        <v>19277.887468588069</v>
      </c>
    </row>
    <row r="4" spans="1:39" x14ac:dyDescent="0.45">
      <c r="A4" s="8" t="s">
        <v>97</v>
      </c>
      <c r="B4" s="8" t="s">
        <v>597</v>
      </c>
      <c r="C4" s="8">
        <v>18</v>
      </c>
      <c r="D4" s="8" t="s">
        <v>1009</v>
      </c>
      <c r="E4" s="8" t="s">
        <v>1012</v>
      </c>
      <c r="F4" s="8" t="s">
        <v>1016</v>
      </c>
      <c r="G4" s="8" t="s">
        <v>1023</v>
      </c>
      <c r="H4" s="8">
        <v>118616.41</v>
      </c>
      <c r="I4" s="8">
        <v>741</v>
      </c>
      <c r="J4" s="8">
        <v>0</v>
      </c>
      <c r="K4" s="8">
        <v>1</v>
      </c>
      <c r="L4" s="8">
        <v>14.98</v>
      </c>
      <c r="M4" s="8">
        <v>28852.41</v>
      </c>
      <c r="N4" s="8">
        <v>81121.14</v>
      </c>
      <c r="O4" s="8" t="str">
        <f t="shared" si="5"/>
        <v>Not Fraud</v>
      </c>
      <c r="P4" s="8">
        <v>0</v>
      </c>
      <c r="Q4" s="8" t="s">
        <v>1025</v>
      </c>
      <c r="R4" s="8" t="s">
        <v>1026</v>
      </c>
      <c r="S4" s="8">
        <v>1412</v>
      </c>
      <c r="T4" s="8">
        <v>187</v>
      </c>
      <c r="U4" s="8">
        <v>7115.55</v>
      </c>
      <c r="V4" s="8">
        <v>0.5</v>
      </c>
      <c r="W4" s="8">
        <v>5.8</v>
      </c>
      <c r="X4" s="8">
        <v>0</v>
      </c>
      <c r="Y4" s="20" t="str">
        <f t="shared" si="0"/>
        <v>Normal</v>
      </c>
      <c r="Z4" s="20">
        <f t="shared" si="1"/>
        <v>-0.94934823844539973</v>
      </c>
      <c r="AA4" s="20">
        <f t="shared" si="2"/>
        <v>0.44729981120134682</v>
      </c>
      <c r="AB4" s="20">
        <f t="shared" si="3"/>
        <v>1.0844709854264547</v>
      </c>
      <c r="AC4" s="20">
        <f t="shared" si="4"/>
        <v>1.1797200672385091</v>
      </c>
      <c r="AD4" s="20"/>
      <c r="AI4" s="12" t="s">
        <v>8</v>
      </c>
      <c r="AJ4" s="12">
        <v>500</v>
      </c>
      <c r="AK4" s="12">
        <v>90508.754759999996</v>
      </c>
      <c r="AL4" s="12">
        <v>90760.209999999992</v>
      </c>
      <c r="AM4" s="12">
        <v>23825.699011626089</v>
      </c>
    </row>
    <row r="5" spans="1:39" x14ac:dyDescent="0.45">
      <c r="A5" s="8" t="s">
        <v>92</v>
      </c>
      <c r="B5" s="8" t="s">
        <v>592</v>
      </c>
      <c r="C5" s="8">
        <v>40.299999999999997</v>
      </c>
      <c r="D5" s="8" t="s">
        <v>1009</v>
      </c>
      <c r="E5" s="8" t="s">
        <v>1012</v>
      </c>
      <c r="F5" s="8" t="s">
        <v>1017</v>
      </c>
      <c r="G5" s="8" t="s">
        <v>1020</v>
      </c>
      <c r="H5" s="8">
        <v>66188.27</v>
      </c>
      <c r="I5" s="8">
        <v>772</v>
      </c>
      <c r="J5" s="8">
        <v>1</v>
      </c>
      <c r="K5" s="8">
        <v>1</v>
      </c>
      <c r="L5" s="8">
        <v>17.309999999999999</v>
      </c>
      <c r="M5" s="8">
        <v>19651.32</v>
      </c>
      <c r="N5" s="8">
        <v>46924.67</v>
      </c>
      <c r="O5" s="8" t="str">
        <f t="shared" si="5"/>
        <v>Fraud</v>
      </c>
      <c r="P5" s="8">
        <v>1</v>
      </c>
      <c r="Q5" s="8" t="s">
        <v>1026</v>
      </c>
      <c r="R5" s="8" t="s">
        <v>1026</v>
      </c>
      <c r="S5" s="8">
        <v>1607</v>
      </c>
      <c r="T5" s="8">
        <v>157</v>
      </c>
      <c r="U5" s="8">
        <v>1277.17</v>
      </c>
      <c r="V5" s="8">
        <v>3</v>
      </c>
      <c r="W5" s="8">
        <v>6.7</v>
      </c>
      <c r="X5" s="8">
        <v>10.82</v>
      </c>
      <c r="Y5" s="20" t="str">
        <f t="shared" si="0"/>
        <v>Normal</v>
      </c>
      <c r="Z5" s="20">
        <f t="shared" si="1"/>
        <v>-0.94823635493177116</v>
      </c>
      <c r="AA5" s="20">
        <f t="shared" si="2"/>
        <v>-1.1884593219447053E-2</v>
      </c>
      <c r="AB5" s="20">
        <f t="shared" si="3"/>
        <v>-0.68939920941313482</v>
      </c>
      <c r="AC5" s="20">
        <f t="shared" si="4"/>
        <v>-1.0207668932664877</v>
      </c>
      <c r="AD5" s="20"/>
      <c r="AE5" s="8">
        <f>_xlfn.QUARTILE.INC(L2:L501,1)</f>
        <v>533.58500000000004</v>
      </c>
      <c r="AI5" s="12" t="s">
        <v>9</v>
      </c>
      <c r="AJ5" s="12">
        <v>500</v>
      </c>
      <c r="AK5" s="12">
        <v>648.60599999999999</v>
      </c>
      <c r="AL5" s="12">
        <v>653</v>
      </c>
      <c r="AM5" s="12">
        <v>82.756365289879568</v>
      </c>
    </row>
    <row r="6" spans="1:39" x14ac:dyDescent="0.45">
      <c r="A6" s="8" t="s">
        <v>225</v>
      </c>
      <c r="B6" s="8" t="s">
        <v>723</v>
      </c>
      <c r="C6" s="8">
        <v>66.2</v>
      </c>
      <c r="D6" s="8" t="s">
        <v>1009</v>
      </c>
      <c r="E6" s="8" t="s">
        <v>1011</v>
      </c>
      <c r="F6" s="8" t="s">
        <v>1016</v>
      </c>
      <c r="G6" s="8" t="s">
        <v>1023</v>
      </c>
      <c r="H6" s="8">
        <v>60048.49</v>
      </c>
      <c r="I6" s="8">
        <v>645</v>
      </c>
      <c r="J6" s="8">
        <v>1</v>
      </c>
      <c r="K6" s="8">
        <v>0</v>
      </c>
      <c r="L6" s="8">
        <v>26.74</v>
      </c>
      <c r="M6" s="8">
        <v>6053.54</v>
      </c>
      <c r="N6" s="8">
        <v>49837.2</v>
      </c>
      <c r="O6" s="8" t="str">
        <f t="shared" si="5"/>
        <v>Not Fraud</v>
      </c>
      <c r="P6" s="8">
        <v>0</v>
      </c>
      <c r="Q6" s="8" t="s">
        <v>1025</v>
      </c>
      <c r="R6" s="8" t="s">
        <v>1026</v>
      </c>
      <c r="S6" s="8">
        <v>4721</v>
      </c>
      <c r="T6" s="8">
        <v>156</v>
      </c>
      <c r="U6" s="8">
        <v>4374.2299999999996</v>
      </c>
      <c r="V6" s="8">
        <v>3.5</v>
      </c>
      <c r="W6" s="8">
        <v>6.6</v>
      </c>
      <c r="X6" s="8">
        <v>0</v>
      </c>
      <c r="Y6" s="20" t="str">
        <f t="shared" si="0"/>
        <v>Normal</v>
      </c>
      <c r="Z6" s="20">
        <f t="shared" si="1"/>
        <v>-0.94373632852253608</v>
      </c>
      <c r="AA6" s="20">
        <f t="shared" si="2"/>
        <v>-0.69048772727693175</v>
      </c>
      <c r="AB6" s="20">
        <f t="shared" si="3"/>
        <v>-0.53831782122961336</v>
      </c>
      <c r="AC6" s="20">
        <f t="shared" si="4"/>
        <v>-1.2784625855105647</v>
      </c>
      <c r="AD6" s="20"/>
      <c r="AE6" s="8">
        <f>_xlfn.QUARTILE.INC(L2:L501,2)</f>
        <v>1357.2049999999999</v>
      </c>
      <c r="AI6" s="12" t="s">
        <v>10</v>
      </c>
      <c r="AJ6" s="12">
        <v>500</v>
      </c>
      <c r="AK6" s="12">
        <v>19889.46226</v>
      </c>
      <c r="AL6" s="12">
        <v>13875.7</v>
      </c>
      <c r="AM6" s="12">
        <v>20037.897436011732</v>
      </c>
    </row>
    <row r="7" spans="1:39" x14ac:dyDescent="0.45">
      <c r="A7" s="8" t="s">
        <v>220</v>
      </c>
      <c r="B7" s="8" t="s">
        <v>718</v>
      </c>
      <c r="C7" s="8">
        <v>52.3</v>
      </c>
      <c r="D7" s="8" t="s">
        <v>1010</v>
      </c>
      <c r="E7" s="8" t="s">
        <v>1011</v>
      </c>
      <c r="F7" s="8" t="s">
        <v>1019</v>
      </c>
      <c r="G7" s="8" t="s">
        <v>1020</v>
      </c>
      <c r="H7" s="8">
        <v>107861.52</v>
      </c>
      <c r="I7" s="8">
        <v>661</v>
      </c>
      <c r="J7" s="8">
        <v>0</v>
      </c>
      <c r="K7" s="8">
        <v>1</v>
      </c>
      <c r="L7" s="8">
        <v>28.23</v>
      </c>
      <c r="M7" s="8">
        <v>27116.959999999999</v>
      </c>
      <c r="N7" s="8">
        <v>72024.13</v>
      </c>
      <c r="O7" s="8" t="str">
        <f t="shared" si="5"/>
        <v>Not Fraud</v>
      </c>
      <c r="P7" s="8">
        <v>0</v>
      </c>
      <c r="Q7" s="8" t="s">
        <v>1025</v>
      </c>
      <c r="R7" s="8" t="s">
        <v>1028</v>
      </c>
      <c r="S7" s="8">
        <v>685</v>
      </c>
      <c r="T7" s="8">
        <v>173</v>
      </c>
      <c r="U7" s="8">
        <v>7155.52</v>
      </c>
      <c r="V7" s="8">
        <v>1.9</v>
      </c>
      <c r="W7" s="8">
        <v>6.2</v>
      </c>
      <c r="X7" s="8">
        <v>0</v>
      </c>
      <c r="Y7" s="20" t="str">
        <f t="shared" si="0"/>
        <v>Normal</v>
      </c>
      <c r="Z7" s="20">
        <f t="shared" si="1"/>
        <v>-0.94302529571768345</v>
      </c>
      <c r="AA7" s="20">
        <f t="shared" si="2"/>
        <v>0.36069142299385543</v>
      </c>
      <c r="AB7" s="20">
        <f t="shared" si="3"/>
        <v>0.61258266183171872</v>
      </c>
      <c r="AC7" s="20">
        <f t="shared" si="4"/>
        <v>0.72832134878949317</v>
      </c>
      <c r="AD7" s="20"/>
      <c r="AE7" s="8">
        <f>_xlfn.QUARTILE.INC(L2:L501,3)</f>
        <v>2846.1750000000002</v>
      </c>
      <c r="AI7" s="12" t="s">
        <v>11</v>
      </c>
      <c r="AJ7" s="12">
        <v>500</v>
      </c>
      <c r="AK7" s="12">
        <v>0.38600000000000001</v>
      </c>
      <c r="AL7" s="12">
        <v>0</v>
      </c>
      <c r="AM7" s="12">
        <v>0.48731812803940677</v>
      </c>
    </row>
    <row r="8" spans="1:39" x14ac:dyDescent="0.45">
      <c r="A8" s="8" t="s">
        <v>78</v>
      </c>
      <c r="B8" s="8" t="s">
        <v>578</v>
      </c>
      <c r="C8" s="8">
        <v>64</v>
      </c>
      <c r="D8" s="8" t="s">
        <v>1010</v>
      </c>
      <c r="E8" s="8" t="s">
        <v>1013</v>
      </c>
      <c r="F8" s="8" t="s">
        <v>1016</v>
      </c>
      <c r="G8" s="8" t="s">
        <v>1023</v>
      </c>
      <c r="H8" s="8">
        <v>67861.009999999995</v>
      </c>
      <c r="I8" s="8">
        <v>619</v>
      </c>
      <c r="J8" s="8">
        <v>0</v>
      </c>
      <c r="K8" s="8">
        <v>0</v>
      </c>
      <c r="L8" s="8">
        <v>33.619999999999997</v>
      </c>
      <c r="M8" s="8">
        <v>35013.21</v>
      </c>
      <c r="N8" s="8">
        <v>61959.66</v>
      </c>
      <c r="O8" s="8" t="str">
        <f t="shared" si="5"/>
        <v>Fraud</v>
      </c>
      <c r="P8" s="8">
        <v>1</v>
      </c>
      <c r="Q8" s="8" t="s">
        <v>1024</v>
      </c>
      <c r="R8" s="8" t="s">
        <v>1029</v>
      </c>
      <c r="S8" s="8">
        <v>3215</v>
      </c>
      <c r="T8" s="8">
        <v>24</v>
      </c>
      <c r="U8" s="8">
        <v>1732.74</v>
      </c>
      <c r="V8" s="8">
        <v>7.6</v>
      </c>
      <c r="W8" s="8">
        <v>7</v>
      </c>
      <c r="X8" s="8">
        <v>27.04</v>
      </c>
      <c r="Y8" s="20" t="str">
        <f t="shared" si="0"/>
        <v>Normal</v>
      </c>
      <c r="Z8" s="20">
        <f t="shared" si="1"/>
        <v>-0.94045317033637099</v>
      </c>
      <c r="AA8" s="20">
        <f t="shared" si="2"/>
        <v>0.75475721882975033</v>
      </c>
      <c r="AB8" s="20">
        <f t="shared" si="3"/>
        <v>9.0509378833292062E-2</v>
      </c>
      <c r="AC8" s="20">
        <f t="shared" si="4"/>
        <v>-0.95055950924876165</v>
      </c>
      <c r="AD8" s="20"/>
      <c r="AI8" s="12" t="s">
        <v>12</v>
      </c>
      <c r="AJ8" s="12">
        <v>500</v>
      </c>
      <c r="AK8" s="12">
        <v>0.496</v>
      </c>
      <c r="AL8" s="12">
        <v>0</v>
      </c>
      <c r="AM8" s="12">
        <v>0.50048473497188684</v>
      </c>
    </row>
    <row r="9" spans="1:39" x14ac:dyDescent="0.45">
      <c r="A9" s="8" t="s">
        <v>216</v>
      </c>
      <c r="B9" s="8" t="s">
        <v>714</v>
      </c>
      <c r="C9" s="8">
        <v>31.3</v>
      </c>
      <c r="D9" s="8" t="s">
        <v>1009</v>
      </c>
      <c r="E9" s="8" t="s">
        <v>1014</v>
      </c>
      <c r="F9" s="8" t="s">
        <v>1018</v>
      </c>
      <c r="G9" s="8" t="s">
        <v>1023</v>
      </c>
      <c r="H9" s="8">
        <v>129030.57</v>
      </c>
      <c r="I9" s="8">
        <v>694</v>
      </c>
      <c r="J9" s="8">
        <v>0</v>
      </c>
      <c r="K9" s="8">
        <v>0</v>
      </c>
      <c r="L9" s="8">
        <v>34.229999999999997</v>
      </c>
      <c r="M9" s="8">
        <v>12763.33</v>
      </c>
      <c r="N9" s="8">
        <v>84077.69</v>
      </c>
      <c r="O9" s="8" t="str">
        <f t="shared" si="5"/>
        <v>Fraud</v>
      </c>
      <c r="P9" s="8">
        <v>1</v>
      </c>
      <c r="Q9" s="8" t="s">
        <v>1027</v>
      </c>
      <c r="R9" s="8" t="s">
        <v>1026</v>
      </c>
      <c r="S9" s="8">
        <v>3035</v>
      </c>
      <c r="T9" s="8">
        <v>228</v>
      </c>
      <c r="U9" s="8">
        <v>712.98</v>
      </c>
      <c r="V9" s="8">
        <v>6</v>
      </c>
      <c r="W9" s="8">
        <v>0.5</v>
      </c>
      <c r="X9" s="8">
        <v>28.13</v>
      </c>
      <c r="Y9" s="20" t="str">
        <f t="shared" si="0"/>
        <v>Normal</v>
      </c>
      <c r="Z9" s="20">
        <f t="shared" si="1"/>
        <v>-0.94016207636928362</v>
      </c>
      <c r="AA9" s="20">
        <f t="shared" si="2"/>
        <v>-0.35563273455991695</v>
      </c>
      <c r="AB9" s="20">
        <f t="shared" si="3"/>
        <v>1.2378358188303995</v>
      </c>
      <c r="AC9" s="20">
        <f t="shared" si="4"/>
        <v>1.6168178411555834</v>
      </c>
      <c r="AD9" s="20"/>
      <c r="AE9" s="8" t="s">
        <v>1042</v>
      </c>
      <c r="AF9" s="8">
        <v>2312.59</v>
      </c>
      <c r="AI9" s="12" t="s">
        <v>13</v>
      </c>
      <c r="AJ9" s="12">
        <v>500</v>
      </c>
      <c r="AK9" s="12">
        <v>2004.3803</v>
      </c>
      <c r="AL9" s="12">
        <v>1357.2049999999999</v>
      </c>
      <c r="AM9" s="12">
        <v>2095.543257401238</v>
      </c>
    </row>
    <row r="10" spans="1:39" x14ac:dyDescent="0.45">
      <c r="A10" s="8" t="s">
        <v>369</v>
      </c>
      <c r="B10" s="8" t="s">
        <v>864</v>
      </c>
      <c r="C10" s="8">
        <v>28.3</v>
      </c>
      <c r="D10" s="8" t="s">
        <v>1009</v>
      </c>
      <c r="E10" s="8" t="s">
        <v>1014</v>
      </c>
      <c r="F10" s="8" t="s">
        <v>1019</v>
      </c>
      <c r="G10" s="8" t="s">
        <v>1020</v>
      </c>
      <c r="H10" s="8">
        <v>94770.52</v>
      </c>
      <c r="I10" s="8">
        <v>617</v>
      </c>
      <c r="J10" s="8">
        <v>1</v>
      </c>
      <c r="K10" s="8">
        <v>0</v>
      </c>
      <c r="L10" s="8">
        <v>36.39</v>
      </c>
      <c r="M10" s="8">
        <v>2953.77</v>
      </c>
      <c r="N10" s="8">
        <v>46307.4</v>
      </c>
      <c r="O10" s="8" t="str">
        <f t="shared" si="5"/>
        <v>Fraud</v>
      </c>
      <c r="P10" s="8">
        <v>1</v>
      </c>
      <c r="Q10" s="8" t="s">
        <v>1026</v>
      </c>
      <c r="R10" s="8" t="s">
        <v>1030</v>
      </c>
      <c r="S10" s="8">
        <v>939</v>
      </c>
      <c r="T10" s="8">
        <v>61</v>
      </c>
      <c r="U10" s="8">
        <v>2599.56</v>
      </c>
      <c r="V10" s="8">
        <v>3.9</v>
      </c>
      <c r="W10" s="8">
        <v>5.9</v>
      </c>
      <c r="X10" s="8">
        <v>28.82</v>
      </c>
      <c r="Y10" s="20" t="str">
        <f t="shared" si="0"/>
        <v>Normal</v>
      </c>
      <c r="Z10" s="20">
        <f t="shared" si="1"/>
        <v>-0.93913131740385969</v>
      </c>
      <c r="AA10" s="20">
        <f t="shared" si="2"/>
        <v>-0.84518309937865499</v>
      </c>
      <c r="AB10" s="20">
        <f t="shared" si="3"/>
        <v>-0.72141879667370956</v>
      </c>
      <c r="AC10" s="20">
        <f t="shared" si="4"/>
        <v>0.17887262144629706</v>
      </c>
      <c r="AD10" s="20"/>
      <c r="AE10" s="8" t="s">
        <v>1043</v>
      </c>
      <c r="AF10" s="8">
        <v>-2935.3</v>
      </c>
      <c r="AI10" s="12" t="s">
        <v>16</v>
      </c>
      <c r="AJ10" s="12">
        <v>500</v>
      </c>
      <c r="AK10" s="12">
        <v>2586.0639999999999</v>
      </c>
      <c r="AL10" s="12">
        <v>2682</v>
      </c>
      <c r="AM10" s="12">
        <v>1443.5262727447009</v>
      </c>
    </row>
    <row r="11" spans="1:39" x14ac:dyDescent="0.45">
      <c r="A11" s="8" t="s">
        <v>488</v>
      </c>
      <c r="B11" s="8" t="s">
        <v>977</v>
      </c>
      <c r="C11" s="8">
        <v>46.7</v>
      </c>
      <c r="D11" s="8" t="s">
        <v>1009</v>
      </c>
      <c r="E11" s="8" t="s">
        <v>1015</v>
      </c>
      <c r="F11" s="8" t="s">
        <v>1016</v>
      </c>
      <c r="G11" s="8" t="s">
        <v>1021</v>
      </c>
      <c r="H11" s="8">
        <v>74072.91</v>
      </c>
      <c r="I11" s="8">
        <v>639</v>
      </c>
      <c r="J11" s="8">
        <v>0</v>
      </c>
      <c r="K11" s="8">
        <v>1</v>
      </c>
      <c r="L11" s="8">
        <v>36.49</v>
      </c>
      <c r="M11" s="8">
        <v>14221.91</v>
      </c>
      <c r="N11" s="8">
        <v>52159.75</v>
      </c>
      <c r="O11" s="8" t="str">
        <f t="shared" si="5"/>
        <v>Not Fraud</v>
      </c>
      <c r="P11" s="8">
        <v>0</v>
      </c>
      <c r="Q11" s="8" t="s">
        <v>1026</v>
      </c>
      <c r="R11" s="8" t="s">
        <v>1030</v>
      </c>
      <c r="S11" s="8">
        <v>4138</v>
      </c>
      <c r="T11" s="8">
        <v>274</v>
      </c>
      <c r="U11" s="8">
        <v>3732.32</v>
      </c>
      <c r="V11" s="8">
        <v>1.4</v>
      </c>
      <c r="W11" s="8">
        <v>7</v>
      </c>
      <c r="X11" s="8">
        <v>0</v>
      </c>
      <c r="Y11" s="20" t="str">
        <f t="shared" si="0"/>
        <v>Normal</v>
      </c>
      <c r="Z11" s="20">
        <f t="shared" si="1"/>
        <v>-0.93908359708138633</v>
      </c>
      <c r="AA11" s="20">
        <f t="shared" si="2"/>
        <v>-0.28284166430627505</v>
      </c>
      <c r="AB11" s="20">
        <f t="shared" si="3"/>
        <v>-0.41784040876497314</v>
      </c>
      <c r="AC11" s="20">
        <f t="shared" si="4"/>
        <v>-0.68983683341168245</v>
      </c>
      <c r="AD11" s="20"/>
      <c r="AE11" s="8" t="s">
        <v>1044</v>
      </c>
      <c r="AF11" s="8">
        <v>6315.06</v>
      </c>
      <c r="AI11" s="12" t="s">
        <v>17</v>
      </c>
      <c r="AJ11" s="12">
        <v>500</v>
      </c>
      <c r="AK11" s="12">
        <v>148.136</v>
      </c>
      <c r="AL11" s="12">
        <v>145.5</v>
      </c>
      <c r="AM11" s="12">
        <v>87.091580481591691</v>
      </c>
    </row>
    <row r="12" spans="1:39" x14ac:dyDescent="0.45">
      <c r="A12" s="8" t="s">
        <v>177</v>
      </c>
      <c r="B12" s="8" t="s">
        <v>675</v>
      </c>
      <c r="C12" s="8">
        <v>54.4</v>
      </c>
      <c r="D12" s="8" t="s">
        <v>1010</v>
      </c>
      <c r="E12" s="8" t="s">
        <v>1014</v>
      </c>
      <c r="F12" s="8" t="s">
        <v>1019</v>
      </c>
      <c r="G12" s="8" t="s">
        <v>1021</v>
      </c>
      <c r="H12" s="8">
        <v>70802.75</v>
      </c>
      <c r="I12" s="8">
        <v>573</v>
      </c>
      <c r="J12" s="8">
        <v>1</v>
      </c>
      <c r="K12" s="8">
        <v>0</v>
      </c>
      <c r="L12" s="8">
        <v>39.69</v>
      </c>
      <c r="M12" s="8">
        <v>5089.01</v>
      </c>
      <c r="N12" s="8">
        <v>59488.51</v>
      </c>
      <c r="O12" s="8" t="str">
        <f t="shared" si="5"/>
        <v>Fraud</v>
      </c>
      <c r="P12" s="8">
        <v>1</v>
      </c>
      <c r="Q12" s="8" t="s">
        <v>1026</v>
      </c>
      <c r="R12" s="8" t="s">
        <v>1029</v>
      </c>
      <c r="S12" s="8">
        <v>2761</v>
      </c>
      <c r="T12" s="8">
        <v>214</v>
      </c>
      <c r="U12" s="8">
        <v>9327.08</v>
      </c>
      <c r="V12" s="8">
        <v>1.6</v>
      </c>
      <c r="W12" s="8">
        <v>6.5</v>
      </c>
      <c r="X12" s="8">
        <v>35.07</v>
      </c>
      <c r="Y12" s="20" t="str">
        <f t="shared" si="0"/>
        <v>Normal</v>
      </c>
      <c r="Z12" s="20">
        <f t="shared" si="1"/>
        <v>-0.93755654676223976</v>
      </c>
      <c r="AA12" s="20">
        <f t="shared" si="2"/>
        <v>-0.73862301707368294</v>
      </c>
      <c r="AB12" s="20">
        <f t="shared" si="3"/>
        <v>-3.7676347119645598E-2</v>
      </c>
      <c r="AC12" s="20">
        <f t="shared" si="4"/>
        <v>-0.82709030909792702</v>
      </c>
      <c r="AD12" s="20"/>
      <c r="AI12" s="12" t="s">
        <v>18</v>
      </c>
      <c r="AJ12" s="12">
        <v>500</v>
      </c>
      <c r="AK12" s="12">
        <v>5119.35646</v>
      </c>
      <c r="AL12" s="12">
        <v>5184.03</v>
      </c>
      <c r="AM12" s="12">
        <v>2885.5352823266562</v>
      </c>
    </row>
    <row r="13" spans="1:39" x14ac:dyDescent="0.45">
      <c r="A13" s="8" t="s">
        <v>93</v>
      </c>
      <c r="B13" s="8" t="s">
        <v>593</v>
      </c>
      <c r="C13" s="8">
        <v>55.4</v>
      </c>
      <c r="D13" s="8" t="s">
        <v>1010</v>
      </c>
      <c r="E13" s="8" t="s">
        <v>1015</v>
      </c>
      <c r="F13" s="8" t="s">
        <v>1018</v>
      </c>
      <c r="G13" s="8" t="s">
        <v>1020</v>
      </c>
      <c r="H13" s="8">
        <v>88317.56</v>
      </c>
      <c r="I13" s="8">
        <v>574</v>
      </c>
      <c r="J13" s="8">
        <v>1</v>
      </c>
      <c r="K13" s="8">
        <v>1</v>
      </c>
      <c r="L13" s="8">
        <v>40.35</v>
      </c>
      <c r="M13" s="8">
        <v>16954.32</v>
      </c>
      <c r="N13" s="8">
        <v>48086.77</v>
      </c>
      <c r="O13" s="8" t="str">
        <f t="shared" si="5"/>
        <v>Fraud</v>
      </c>
      <c r="P13" s="8">
        <v>1</v>
      </c>
      <c r="Q13" s="8" t="s">
        <v>1024</v>
      </c>
      <c r="R13" s="8" t="s">
        <v>1026</v>
      </c>
      <c r="S13" s="8">
        <v>3169</v>
      </c>
      <c r="T13" s="8">
        <v>249</v>
      </c>
      <c r="U13" s="8">
        <v>4624.63</v>
      </c>
      <c r="V13" s="8">
        <v>4.7</v>
      </c>
      <c r="W13" s="8">
        <v>0.5</v>
      </c>
      <c r="X13" s="8">
        <v>34.03</v>
      </c>
      <c r="Y13" s="20" t="str">
        <f t="shared" si="0"/>
        <v>Normal</v>
      </c>
      <c r="Z13" s="20">
        <f t="shared" si="1"/>
        <v>-0.93724159263391582</v>
      </c>
      <c r="AA13" s="20">
        <f t="shared" si="2"/>
        <v>-0.14647955302560928</v>
      </c>
      <c r="AB13" s="20">
        <f t="shared" si="3"/>
        <v>-0.6291177080352709</v>
      </c>
      <c r="AC13" s="20">
        <f t="shared" si="4"/>
        <v>-9.1967700881756875E-2</v>
      </c>
      <c r="AD13" s="20"/>
      <c r="AI13" s="12" t="s">
        <v>19</v>
      </c>
      <c r="AJ13" s="12">
        <v>500</v>
      </c>
      <c r="AK13" s="12">
        <v>4.0542000000000007</v>
      </c>
      <c r="AL13" s="12">
        <v>4</v>
      </c>
      <c r="AM13" s="12">
        <v>1.9514452688391111</v>
      </c>
    </row>
    <row r="14" spans="1:39" x14ac:dyDescent="0.45">
      <c r="A14" s="8" t="s">
        <v>324</v>
      </c>
      <c r="B14" s="8" t="s">
        <v>820</v>
      </c>
      <c r="C14" s="8">
        <v>41.6</v>
      </c>
      <c r="D14" s="8" t="s">
        <v>1009</v>
      </c>
      <c r="E14" s="8" t="s">
        <v>1013</v>
      </c>
      <c r="F14" s="8" t="s">
        <v>1016</v>
      </c>
      <c r="G14" s="8" t="s">
        <v>1022</v>
      </c>
      <c r="H14" s="8">
        <v>125411.01</v>
      </c>
      <c r="I14" s="8">
        <v>756</v>
      </c>
      <c r="J14" s="8">
        <v>0</v>
      </c>
      <c r="K14" s="8">
        <v>1</v>
      </c>
      <c r="L14" s="8">
        <v>42.75</v>
      </c>
      <c r="M14" s="8">
        <v>26135.61</v>
      </c>
      <c r="N14" s="8">
        <v>90668.67</v>
      </c>
      <c r="O14" s="8" t="str">
        <f t="shared" si="5"/>
        <v>Not Fraud</v>
      </c>
      <c r="P14" s="8">
        <v>0</v>
      </c>
      <c r="Q14" s="8" t="s">
        <v>1024</v>
      </c>
      <c r="R14" s="8" t="s">
        <v>1028</v>
      </c>
      <c r="S14" s="8">
        <v>1418</v>
      </c>
      <c r="T14" s="8">
        <v>229</v>
      </c>
      <c r="U14" s="8">
        <v>1066.95</v>
      </c>
      <c r="V14" s="8">
        <v>5.0999999999999996</v>
      </c>
      <c r="W14" s="8">
        <v>9.1</v>
      </c>
      <c r="X14" s="8">
        <v>0</v>
      </c>
      <c r="Y14" s="20" t="str">
        <f t="shared" si="0"/>
        <v>Normal</v>
      </c>
      <c r="Z14" s="20">
        <f t="shared" si="1"/>
        <v>-0.93609630489455586</v>
      </c>
      <c r="AA14" s="20">
        <f t="shared" si="2"/>
        <v>0.31171672377035631</v>
      </c>
      <c r="AB14" s="20">
        <f t="shared" si="3"/>
        <v>1.5797290895914995</v>
      </c>
      <c r="AC14" s="20">
        <f t="shared" si="4"/>
        <v>1.4648995281510502</v>
      </c>
      <c r="AD14" s="20"/>
      <c r="AI14" s="12" t="s">
        <v>20</v>
      </c>
      <c r="AJ14" s="12">
        <v>500</v>
      </c>
      <c r="AK14" s="12">
        <v>5.1479999999999997</v>
      </c>
      <c r="AL14" s="12">
        <v>5.2</v>
      </c>
      <c r="AM14" s="12">
        <v>2.492894913569403</v>
      </c>
    </row>
    <row r="15" spans="1:39" x14ac:dyDescent="0.45">
      <c r="A15" s="8" t="s">
        <v>419</v>
      </c>
      <c r="B15" s="8" t="s">
        <v>909</v>
      </c>
      <c r="C15" s="8">
        <v>24.3</v>
      </c>
      <c r="D15" s="8" t="s">
        <v>1009</v>
      </c>
      <c r="E15" s="8" t="s">
        <v>1012</v>
      </c>
      <c r="F15" s="8" t="s">
        <v>1018</v>
      </c>
      <c r="G15" s="8" t="s">
        <v>1021</v>
      </c>
      <c r="H15" s="8">
        <v>68601.62</v>
      </c>
      <c r="I15" s="8">
        <v>581</v>
      </c>
      <c r="J15" s="8">
        <v>1</v>
      </c>
      <c r="K15" s="8">
        <v>0</v>
      </c>
      <c r="L15" s="8">
        <v>44.45</v>
      </c>
      <c r="M15" s="8">
        <v>29878.06</v>
      </c>
      <c r="N15" s="8">
        <v>25483.87</v>
      </c>
      <c r="O15" s="8" t="str">
        <f t="shared" si="5"/>
        <v>Not Fraud</v>
      </c>
      <c r="P15" s="8">
        <v>0</v>
      </c>
      <c r="Q15" s="8" t="s">
        <v>1025</v>
      </c>
      <c r="R15" s="8" t="s">
        <v>1030</v>
      </c>
      <c r="S15" s="8">
        <v>4424</v>
      </c>
      <c r="T15" s="8">
        <v>89</v>
      </c>
      <c r="U15" s="8">
        <v>3371.25</v>
      </c>
      <c r="V15" s="8">
        <v>4.9000000000000004</v>
      </c>
      <c r="W15" s="8">
        <v>4.8</v>
      </c>
      <c r="X15" s="8">
        <v>0</v>
      </c>
      <c r="Y15" s="20" t="str">
        <f t="shared" si="0"/>
        <v>Normal</v>
      </c>
      <c r="Z15" s="20">
        <f t="shared" si="1"/>
        <v>-0.93528505941250928</v>
      </c>
      <c r="AA15" s="20">
        <f t="shared" si="2"/>
        <v>0.4984853212218105</v>
      </c>
      <c r="AB15" s="20">
        <f t="shared" si="3"/>
        <v>-1.8015957628444295</v>
      </c>
      <c r="AC15" s="20">
        <f t="shared" si="4"/>
        <v>-0.91947500676937544</v>
      </c>
      <c r="AD15" s="20"/>
      <c r="AI15" s="12" t="s">
        <v>21</v>
      </c>
      <c r="AJ15" s="12">
        <v>500</v>
      </c>
      <c r="AK15" s="12">
        <v>0.49199999999999999</v>
      </c>
      <c r="AL15" s="12">
        <v>0</v>
      </c>
      <c r="AM15" s="12">
        <v>0.50043668305540412</v>
      </c>
    </row>
    <row r="16" spans="1:39" x14ac:dyDescent="0.45">
      <c r="A16" s="8" t="s">
        <v>390</v>
      </c>
      <c r="B16" s="8" t="s">
        <v>884</v>
      </c>
      <c r="C16" s="8">
        <v>50.2</v>
      </c>
      <c r="D16" s="8" t="s">
        <v>1010</v>
      </c>
      <c r="E16" s="8" t="s">
        <v>1012</v>
      </c>
      <c r="F16" s="8" t="s">
        <v>1019</v>
      </c>
      <c r="G16" s="8" t="s">
        <v>1023</v>
      </c>
      <c r="H16" s="8">
        <v>143818.39000000001</v>
      </c>
      <c r="I16" s="8">
        <v>674</v>
      </c>
      <c r="J16" s="8">
        <v>0</v>
      </c>
      <c r="K16" s="8">
        <v>0</v>
      </c>
      <c r="L16" s="8">
        <v>66.02</v>
      </c>
      <c r="M16" s="8">
        <v>3685.15</v>
      </c>
      <c r="N16" s="8">
        <v>90223.1</v>
      </c>
      <c r="O16" s="8" t="str">
        <f t="shared" si="5"/>
        <v>Fraud</v>
      </c>
      <c r="P16" s="8">
        <v>1</v>
      </c>
      <c r="Q16" s="8" t="s">
        <v>1027</v>
      </c>
      <c r="R16" s="8" t="s">
        <v>1028</v>
      </c>
      <c r="S16" s="8">
        <v>2677</v>
      </c>
      <c r="T16" s="8">
        <v>200</v>
      </c>
      <c r="U16" s="8">
        <v>6089.75</v>
      </c>
      <c r="V16" s="8">
        <v>0.8</v>
      </c>
      <c r="W16" s="8">
        <v>8.1999999999999993</v>
      </c>
      <c r="X16" s="8">
        <v>50.97</v>
      </c>
      <c r="Y16" s="20" t="str">
        <f t="shared" si="0"/>
        <v>Normal</v>
      </c>
      <c r="Z16" s="20">
        <f t="shared" si="1"/>
        <v>-0.92499178585501196</v>
      </c>
      <c r="AA16" s="20">
        <f t="shared" si="2"/>
        <v>-0.80868326189143558</v>
      </c>
      <c r="AB16" s="20">
        <f t="shared" si="3"/>
        <v>1.5566160798944557</v>
      </c>
      <c r="AC16" s="20">
        <f t="shared" si="4"/>
        <v>2.2374846259069594</v>
      </c>
      <c r="AD16" s="20"/>
      <c r="AI16" s="12" t="s">
        <v>22</v>
      </c>
      <c r="AJ16" s="12">
        <v>500</v>
      </c>
      <c r="AK16" s="12">
        <v>712.47077999999999</v>
      </c>
      <c r="AL16" s="12">
        <v>0</v>
      </c>
      <c r="AM16" s="12">
        <v>1347.8774624910729</v>
      </c>
    </row>
    <row r="17" spans="1:30" x14ac:dyDescent="0.45">
      <c r="A17" s="8" t="s">
        <v>310</v>
      </c>
      <c r="B17" s="8" t="s">
        <v>806</v>
      </c>
      <c r="C17" s="8">
        <v>58.8</v>
      </c>
      <c r="D17" s="8" t="s">
        <v>1010</v>
      </c>
      <c r="E17" s="8" t="s">
        <v>1012</v>
      </c>
      <c r="F17" s="8" t="s">
        <v>1016</v>
      </c>
      <c r="G17" s="8" t="s">
        <v>1023</v>
      </c>
      <c r="H17" s="8">
        <v>97211.38</v>
      </c>
      <c r="I17" s="8">
        <v>699</v>
      </c>
      <c r="J17" s="8">
        <v>0</v>
      </c>
      <c r="K17" s="8">
        <v>0</v>
      </c>
      <c r="L17" s="8">
        <v>71.58</v>
      </c>
      <c r="M17" s="8">
        <v>7496.72</v>
      </c>
      <c r="N17" s="8">
        <v>58480.98</v>
      </c>
      <c r="O17" s="8" t="str">
        <f t="shared" si="5"/>
        <v>Not Fraud</v>
      </c>
      <c r="P17" s="8">
        <v>0</v>
      </c>
      <c r="Q17" s="8" t="s">
        <v>1025</v>
      </c>
      <c r="R17" s="8" t="s">
        <v>1028</v>
      </c>
      <c r="S17" s="8">
        <v>682</v>
      </c>
      <c r="T17" s="8">
        <v>131</v>
      </c>
      <c r="U17" s="8">
        <v>4327.8100000000004</v>
      </c>
      <c r="V17" s="8">
        <v>6.2</v>
      </c>
      <c r="W17" s="8">
        <v>3.1</v>
      </c>
      <c r="X17" s="8">
        <v>0</v>
      </c>
      <c r="Y17" s="20" t="str">
        <f t="shared" si="0"/>
        <v>Normal</v>
      </c>
      <c r="Z17" s="20">
        <f t="shared" si="1"/>
        <v>-0.92233853592549475</v>
      </c>
      <c r="AA17" s="20">
        <f t="shared" si="2"/>
        <v>-0.61846520073148969</v>
      </c>
      <c r="AB17" s="20">
        <f t="shared" si="3"/>
        <v>-8.9939853774184203E-2</v>
      </c>
      <c r="AC17" s="20">
        <f t="shared" si="4"/>
        <v>0.28131914353192183</v>
      </c>
      <c r="AD17" s="20"/>
    </row>
    <row r="18" spans="1:30" x14ac:dyDescent="0.45">
      <c r="A18" s="8" t="s">
        <v>218</v>
      </c>
      <c r="B18" s="8" t="s">
        <v>716</v>
      </c>
      <c r="C18" s="8">
        <v>55.8</v>
      </c>
      <c r="D18" s="8" t="s">
        <v>1009</v>
      </c>
      <c r="E18" s="8" t="s">
        <v>1013</v>
      </c>
      <c r="F18" s="8" t="s">
        <v>1018</v>
      </c>
      <c r="G18" s="8" t="s">
        <v>1023</v>
      </c>
      <c r="H18" s="8">
        <v>107375.52</v>
      </c>
      <c r="I18" s="8">
        <v>630</v>
      </c>
      <c r="J18" s="8">
        <v>1</v>
      </c>
      <c r="K18" s="8">
        <v>1</v>
      </c>
      <c r="L18" s="8">
        <v>91.23</v>
      </c>
      <c r="M18" s="8">
        <v>16892.75</v>
      </c>
      <c r="N18" s="8">
        <v>50996.21</v>
      </c>
      <c r="O18" s="8" t="str">
        <f t="shared" si="5"/>
        <v>Fraud</v>
      </c>
      <c r="P18" s="8">
        <v>1</v>
      </c>
      <c r="Q18" s="8" t="s">
        <v>1026</v>
      </c>
      <c r="R18" s="8" t="s">
        <v>1030</v>
      </c>
      <c r="S18" s="8">
        <v>3404</v>
      </c>
      <c r="T18" s="8">
        <v>122</v>
      </c>
      <c r="U18" s="8">
        <v>9532.84</v>
      </c>
      <c r="V18" s="8">
        <v>2.8</v>
      </c>
      <c r="W18" s="8">
        <v>4.9000000000000004</v>
      </c>
      <c r="X18" s="8">
        <v>84.9</v>
      </c>
      <c r="Y18" s="20" t="str">
        <f t="shared" si="0"/>
        <v>Normal</v>
      </c>
      <c r="Z18" s="20">
        <f t="shared" si="1"/>
        <v>-0.91296149255948533</v>
      </c>
      <c r="AA18" s="20">
        <f t="shared" si="2"/>
        <v>-0.1495522306953406</v>
      </c>
      <c r="AB18" s="20">
        <f t="shared" si="3"/>
        <v>-0.47819660712415052</v>
      </c>
      <c r="AC18" s="20">
        <f t="shared" si="4"/>
        <v>0.70792320644064333</v>
      </c>
      <c r="AD18" s="20"/>
    </row>
    <row r="19" spans="1:30" x14ac:dyDescent="0.45">
      <c r="A19" s="8" t="s">
        <v>189</v>
      </c>
      <c r="B19" s="8" t="s">
        <v>687</v>
      </c>
      <c r="C19" s="8">
        <v>62.3</v>
      </c>
      <c r="D19" s="8" t="s">
        <v>1009</v>
      </c>
      <c r="E19" s="8" t="s">
        <v>1015</v>
      </c>
      <c r="F19" s="8" t="s">
        <v>1016</v>
      </c>
      <c r="G19" s="8" t="s">
        <v>1021</v>
      </c>
      <c r="H19" s="8">
        <v>82712.22</v>
      </c>
      <c r="I19" s="8">
        <v>540</v>
      </c>
      <c r="J19" s="8">
        <v>0</v>
      </c>
      <c r="K19" s="8">
        <v>1</v>
      </c>
      <c r="L19" s="8">
        <v>91.8</v>
      </c>
      <c r="M19" s="8">
        <v>40261.57</v>
      </c>
      <c r="N19" s="8">
        <v>76501.97</v>
      </c>
      <c r="O19" s="8" t="str">
        <f t="shared" si="5"/>
        <v>Not Fraud</v>
      </c>
      <c r="P19" s="8">
        <v>0</v>
      </c>
      <c r="Q19" s="8" t="s">
        <v>1024</v>
      </c>
      <c r="R19" s="8" t="s">
        <v>1030</v>
      </c>
      <c r="S19" s="8">
        <v>3617</v>
      </c>
      <c r="T19" s="8">
        <v>219</v>
      </c>
      <c r="U19" s="8">
        <v>9546.86</v>
      </c>
      <c r="V19" s="8">
        <v>6.9</v>
      </c>
      <c r="W19" s="8">
        <v>10.1</v>
      </c>
      <c r="X19" s="8">
        <v>0</v>
      </c>
      <c r="Y19" s="20" t="str">
        <f t="shared" si="0"/>
        <v>Normal</v>
      </c>
      <c r="Z19" s="20">
        <f t="shared" si="1"/>
        <v>-0.91268948672138739</v>
      </c>
      <c r="AA19" s="20">
        <f t="shared" si="2"/>
        <v>1.0166789108016707</v>
      </c>
      <c r="AB19" s="20">
        <f t="shared" si="3"/>
        <v>0.84486122488985016</v>
      </c>
      <c r="AC19" s="20">
        <f t="shared" si="4"/>
        <v>-0.32723215197990896</v>
      </c>
      <c r="AD19" s="20"/>
    </row>
    <row r="20" spans="1:30" x14ac:dyDescent="0.45">
      <c r="A20" s="8" t="s">
        <v>211</v>
      </c>
      <c r="B20" s="8" t="s">
        <v>709</v>
      </c>
      <c r="C20" s="8">
        <v>37.299999999999997</v>
      </c>
      <c r="D20" s="8" t="s">
        <v>1010</v>
      </c>
      <c r="E20" s="8" t="s">
        <v>1014</v>
      </c>
      <c r="F20" s="8" t="s">
        <v>1019</v>
      </c>
      <c r="G20" s="8" t="s">
        <v>1023</v>
      </c>
      <c r="H20" s="8">
        <v>87278</v>
      </c>
      <c r="I20" s="8">
        <v>666</v>
      </c>
      <c r="J20" s="8">
        <v>0</v>
      </c>
      <c r="K20" s="8">
        <v>0</v>
      </c>
      <c r="L20" s="8">
        <v>102.29</v>
      </c>
      <c r="M20" s="8">
        <v>10839.09</v>
      </c>
      <c r="N20" s="8">
        <v>61773.15</v>
      </c>
      <c r="O20" s="8" t="str">
        <f t="shared" si="5"/>
        <v>Not Fraud</v>
      </c>
      <c r="P20" s="8">
        <v>0</v>
      </c>
      <c r="Q20" s="8" t="s">
        <v>1024</v>
      </c>
      <c r="R20" s="8" t="s">
        <v>1030</v>
      </c>
      <c r="S20" s="8">
        <v>4670</v>
      </c>
      <c r="T20" s="8">
        <v>283</v>
      </c>
      <c r="U20" s="8">
        <v>4600.43</v>
      </c>
      <c r="V20" s="8">
        <v>6.4</v>
      </c>
      <c r="W20" s="8">
        <v>0.5</v>
      </c>
      <c r="X20" s="8">
        <v>0</v>
      </c>
      <c r="Y20" s="20" t="str">
        <f t="shared" si="0"/>
        <v>Normal</v>
      </c>
      <c r="Z20" s="20">
        <f t="shared" si="1"/>
        <v>-0.90768362489393506</v>
      </c>
      <c r="AA20" s="20">
        <f t="shared" si="2"/>
        <v>-0.45166276995383964</v>
      </c>
      <c r="AB20" s="20">
        <f t="shared" si="3"/>
        <v>8.0834563566115791E-2</v>
      </c>
      <c r="AC20" s="20">
        <f t="shared" si="4"/>
        <v>-0.13559957919486448</v>
      </c>
      <c r="AD20" s="20"/>
    </row>
    <row r="21" spans="1:30" x14ac:dyDescent="0.45">
      <c r="A21" s="8" t="s">
        <v>387</v>
      </c>
      <c r="B21" s="8" t="s">
        <v>881</v>
      </c>
      <c r="C21" s="8">
        <v>60.4</v>
      </c>
      <c r="D21" s="8" t="s">
        <v>1009</v>
      </c>
      <c r="E21" s="8" t="s">
        <v>1014</v>
      </c>
      <c r="F21" s="8" t="s">
        <v>1017</v>
      </c>
      <c r="G21" s="8" t="s">
        <v>1023</v>
      </c>
      <c r="H21" s="8">
        <v>92012.44</v>
      </c>
      <c r="I21" s="8">
        <v>668</v>
      </c>
      <c r="J21" s="8">
        <v>1</v>
      </c>
      <c r="K21" s="8">
        <v>0</v>
      </c>
      <c r="L21" s="8">
        <v>103.27</v>
      </c>
      <c r="M21" s="8">
        <v>12905.27</v>
      </c>
      <c r="N21" s="8">
        <v>56217.59</v>
      </c>
      <c r="O21" s="8" t="str">
        <f t="shared" si="5"/>
        <v>Fraud</v>
      </c>
      <c r="P21" s="8">
        <v>1</v>
      </c>
      <c r="Q21" s="8" t="s">
        <v>1027</v>
      </c>
      <c r="R21" s="8" t="s">
        <v>1030</v>
      </c>
      <c r="S21" s="8">
        <v>1433</v>
      </c>
      <c r="T21" s="8">
        <v>54</v>
      </c>
      <c r="U21" s="8">
        <v>1378.45</v>
      </c>
      <c r="V21" s="8">
        <v>2.8</v>
      </c>
      <c r="W21" s="8">
        <v>6.6</v>
      </c>
      <c r="X21" s="8">
        <v>69.91</v>
      </c>
      <c r="Y21" s="20" t="str">
        <f t="shared" si="0"/>
        <v>Normal</v>
      </c>
      <c r="Z21" s="20">
        <f t="shared" si="1"/>
        <v>-0.90721596573369645</v>
      </c>
      <c r="AA21" s="20">
        <f t="shared" si="2"/>
        <v>-0.3485491570312233</v>
      </c>
      <c r="AB21" s="20">
        <f t="shared" si="3"/>
        <v>-0.20734846525653869</v>
      </c>
      <c r="AC21" s="20">
        <f t="shared" si="4"/>
        <v>6.3111904471984712E-2</v>
      </c>
      <c r="AD21" s="20"/>
    </row>
    <row r="22" spans="1:30" x14ac:dyDescent="0.45">
      <c r="A22" s="8" t="s">
        <v>444</v>
      </c>
      <c r="B22" s="8" t="s">
        <v>934</v>
      </c>
      <c r="C22" s="8">
        <v>76.3</v>
      </c>
      <c r="D22" s="8" t="s">
        <v>1009</v>
      </c>
      <c r="E22" s="8" t="s">
        <v>1014</v>
      </c>
      <c r="F22" s="8" t="s">
        <v>1016</v>
      </c>
      <c r="G22" s="8" t="s">
        <v>1022</v>
      </c>
      <c r="H22" s="8">
        <v>125554.68</v>
      </c>
      <c r="I22" s="8">
        <v>735</v>
      </c>
      <c r="J22" s="8">
        <v>0</v>
      </c>
      <c r="K22" s="8">
        <v>1</v>
      </c>
      <c r="L22" s="8">
        <v>105.17</v>
      </c>
      <c r="M22" s="8">
        <v>20924.98</v>
      </c>
      <c r="N22" s="8">
        <v>122198.37</v>
      </c>
      <c r="O22" s="8" t="str">
        <f t="shared" si="5"/>
        <v>Fraud</v>
      </c>
      <c r="P22" s="8">
        <v>1</v>
      </c>
      <c r="Q22" s="8" t="s">
        <v>1025</v>
      </c>
      <c r="R22" s="8" t="s">
        <v>1028</v>
      </c>
      <c r="S22" s="8">
        <v>394</v>
      </c>
      <c r="T22" s="8">
        <v>4</v>
      </c>
      <c r="U22" s="8">
        <v>2721.17</v>
      </c>
      <c r="V22" s="8">
        <v>5.0999999999999996</v>
      </c>
      <c r="W22" s="8">
        <v>4.8</v>
      </c>
      <c r="X22" s="8">
        <v>63.17</v>
      </c>
      <c r="Y22" s="20" t="str">
        <f t="shared" si="0"/>
        <v>Normal</v>
      </c>
      <c r="Z22" s="20">
        <f t="shared" si="1"/>
        <v>-0.90630927960670304</v>
      </c>
      <c r="AA22" s="20">
        <f t="shared" si="2"/>
        <v>5.1677963883525344E-2</v>
      </c>
      <c r="AB22" s="20">
        <f t="shared" si="3"/>
        <v>3.2152661810583614</v>
      </c>
      <c r="AC22" s="20">
        <f t="shared" si="4"/>
        <v>1.4709295715898552</v>
      </c>
      <c r="AD22" s="20"/>
    </row>
    <row r="23" spans="1:30" x14ac:dyDescent="0.45">
      <c r="A23" s="8" t="s">
        <v>355</v>
      </c>
      <c r="B23" s="8" t="s">
        <v>850</v>
      </c>
      <c r="C23" s="8">
        <v>51.1</v>
      </c>
      <c r="D23" s="8" t="s">
        <v>1009</v>
      </c>
      <c r="E23" s="8" t="s">
        <v>1012</v>
      </c>
      <c r="F23" s="8" t="s">
        <v>1016</v>
      </c>
      <c r="G23" s="8" t="s">
        <v>1022</v>
      </c>
      <c r="H23" s="8">
        <v>90648.23</v>
      </c>
      <c r="I23" s="8">
        <v>517</v>
      </c>
      <c r="J23" s="8">
        <v>0</v>
      </c>
      <c r="K23" s="8">
        <v>0</v>
      </c>
      <c r="L23" s="8">
        <v>106.85</v>
      </c>
      <c r="M23" s="8">
        <v>38930.54</v>
      </c>
      <c r="N23" s="8">
        <v>51265.61</v>
      </c>
      <c r="O23" s="8" t="str">
        <f t="shared" si="5"/>
        <v>Not Fraud</v>
      </c>
      <c r="P23" s="8">
        <v>0</v>
      </c>
      <c r="Q23" s="8" t="s">
        <v>1025</v>
      </c>
      <c r="R23" s="8" t="s">
        <v>1029</v>
      </c>
      <c r="S23" s="8">
        <v>1225</v>
      </c>
      <c r="T23" s="8">
        <v>52</v>
      </c>
      <c r="U23" s="8">
        <v>9997.42</v>
      </c>
      <c r="V23" s="8">
        <v>4.7</v>
      </c>
      <c r="W23" s="8">
        <v>6.9</v>
      </c>
      <c r="X23" s="8">
        <v>0</v>
      </c>
      <c r="Y23" s="20" t="str">
        <f t="shared" si="0"/>
        <v>Normal</v>
      </c>
      <c r="Z23" s="20">
        <f t="shared" si="1"/>
        <v>-0.90550757818915117</v>
      </c>
      <c r="AA23" s="20">
        <f t="shared" si="2"/>
        <v>0.95025327885847621</v>
      </c>
      <c r="AB23" s="20">
        <f t="shared" si="3"/>
        <v>-0.46422204687013047</v>
      </c>
      <c r="AC23" s="20">
        <f t="shared" si="4"/>
        <v>5.8539831268724085E-3</v>
      </c>
      <c r="AD23" s="20"/>
    </row>
    <row r="24" spans="1:30" x14ac:dyDescent="0.45">
      <c r="A24" s="8" t="s">
        <v>331</v>
      </c>
      <c r="B24" s="8" t="s">
        <v>827</v>
      </c>
      <c r="C24" s="8">
        <v>58.2</v>
      </c>
      <c r="D24" s="8" t="s">
        <v>1009</v>
      </c>
      <c r="E24" s="8" t="s">
        <v>1015</v>
      </c>
      <c r="F24" s="8" t="s">
        <v>1019</v>
      </c>
      <c r="G24" s="8" t="s">
        <v>1022</v>
      </c>
      <c r="H24" s="8">
        <v>129896.58</v>
      </c>
      <c r="I24" s="8">
        <v>833</v>
      </c>
      <c r="J24" s="8">
        <v>1</v>
      </c>
      <c r="K24" s="8">
        <v>0</v>
      </c>
      <c r="L24" s="8">
        <v>107.39</v>
      </c>
      <c r="M24" s="8">
        <v>27346.68</v>
      </c>
      <c r="N24" s="8">
        <v>100486.19</v>
      </c>
      <c r="O24" s="8" t="str">
        <f t="shared" si="5"/>
        <v>Not Fraud</v>
      </c>
      <c r="P24" s="8">
        <v>0</v>
      </c>
      <c r="Q24" s="8" t="s">
        <v>1027</v>
      </c>
      <c r="R24" s="8" t="s">
        <v>1028</v>
      </c>
      <c r="S24" s="8">
        <v>1755</v>
      </c>
      <c r="T24" s="8">
        <v>227</v>
      </c>
      <c r="U24" s="8">
        <v>383.16</v>
      </c>
      <c r="V24" s="8">
        <v>0.5</v>
      </c>
      <c r="W24" s="8">
        <v>4.7</v>
      </c>
      <c r="X24" s="8">
        <v>0</v>
      </c>
      <c r="Y24" s="20" t="str">
        <f t="shared" si="0"/>
        <v>Normal</v>
      </c>
      <c r="Z24" s="20">
        <f t="shared" si="1"/>
        <v>-0.90524988844779519</v>
      </c>
      <c r="AA24" s="20">
        <f t="shared" si="2"/>
        <v>0.37215569965928802</v>
      </c>
      <c r="AB24" s="20">
        <f t="shared" si="3"/>
        <v>2.0889923590237411</v>
      </c>
      <c r="AC24" s="20">
        <f t="shared" si="4"/>
        <v>1.6531655680188084</v>
      </c>
      <c r="AD24" s="20"/>
    </row>
    <row r="25" spans="1:30" x14ac:dyDescent="0.45">
      <c r="A25" s="8" t="s">
        <v>405</v>
      </c>
      <c r="B25" s="8" t="s">
        <v>897</v>
      </c>
      <c r="C25" s="8">
        <v>18.100000000000001</v>
      </c>
      <c r="D25" s="8" t="s">
        <v>1009</v>
      </c>
      <c r="E25" s="8" t="s">
        <v>1013</v>
      </c>
      <c r="F25" s="8" t="s">
        <v>1018</v>
      </c>
      <c r="G25" s="8" t="s">
        <v>1021</v>
      </c>
      <c r="H25" s="8">
        <v>53924.06</v>
      </c>
      <c r="I25" s="8">
        <v>580</v>
      </c>
      <c r="J25" s="8">
        <v>0</v>
      </c>
      <c r="K25" s="8">
        <v>1</v>
      </c>
      <c r="L25" s="8">
        <v>108.54</v>
      </c>
      <c r="M25" s="8">
        <v>9019.17</v>
      </c>
      <c r="N25" s="8">
        <v>24428.25</v>
      </c>
      <c r="O25" s="8" t="str">
        <f t="shared" si="5"/>
        <v>Fraud</v>
      </c>
      <c r="P25" s="8">
        <v>1</v>
      </c>
      <c r="Q25" s="8" t="s">
        <v>1024</v>
      </c>
      <c r="R25" s="8" t="s">
        <v>1029</v>
      </c>
      <c r="S25" s="8">
        <v>1003</v>
      </c>
      <c r="T25" s="8">
        <v>218</v>
      </c>
      <c r="U25" s="8">
        <v>932.53</v>
      </c>
      <c r="V25" s="8">
        <v>4.9000000000000004</v>
      </c>
      <c r="W25" s="8">
        <v>5.0999999999999996</v>
      </c>
      <c r="X25" s="8">
        <v>103.81</v>
      </c>
      <c r="Y25" s="20" t="str">
        <f t="shared" si="0"/>
        <v>Normal</v>
      </c>
      <c r="Z25" s="20">
        <f t="shared" si="1"/>
        <v>-0.90470110473935195</v>
      </c>
      <c r="AA25" s="20">
        <f t="shared" si="2"/>
        <v>-0.54248667030624265</v>
      </c>
      <c r="AB25" s="20">
        <f t="shared" si="3"/>
        <v>-1.8563538374374084</v>
      </c>
      <c r="AC25" s="20">
        <f t="shared" si="4"/>
        <v>-1.5355140154397138</v>
      </c>
      <c r="AD25" s="20"/>
    </row>
    <row r="26" spans="1:30" x14ac:dyDescent="0.45">
      <c r="A26" s="8" t="s">
        <v>407</v>
      </c>
      <c r="B26" s="8" t="s">
        <v>899</v>
      </c>
      <c r="C26" s="8">
        <v>38.6</v>
      </c>
      <c r="D26" s="8" t="s">
        <v>1010</v>
      </c>
      <c r="E26" s="8" t="s">
        <v>1014</v>
      </c>
      <c r="F26" s="8" t="s">
        <v>1016</v>
      </c>
      <c r="G26" s="8" t="s">
        <v>1021</v>
      </c>
      <c r="H26" s="8">
        <v>72169.960000000006</v>
      </c>
      <c r="I26" s="8">
        <v>669</v>
      </c>
      <c r="J26" s="8">
        <v>0</v>
      </c>
      <c r="K26" s="8">
        <v>1</v>
      </c>
      <c r="L26" s="8">
        <v>112.1</v>
      </c>
      <c r="M26" s="8">
        <v>25846.73</v>
      </c>
      <c r="N26" s="8">
        <v>49916.4</v>
      </c>
      <c r="O26" s="8" t="str">
        <f t="shared" si="5"/>
        <v>Not Fraud</v>
      </c>
      <c r="P26" s="8">
        <v>0</v>
      </c>
      <c r="Q26" s="8" t="s">
        <v>1027</v>
      </c>
      <c r="R26" s="8" t="s">
        <v>1026</v>
      </c>
      <c r="S26" s="8">
        <v>3155</v>
      </c>
      <c r="T26" s="8">
        <v>106</v>
      </c>
      <c r="U26" s="8">
        <v>574.27</v>
      </c>
      <c r="V26" s="8">
        <v>0.6</v>
      </c>
      <c r="W26" s="8">
        <v>5.0999999999999996</v>
      </c>
      <c r="X26" s="8">
        <v>0</v>
      </c>
      <c r="Y26" s="20" t="str">
        <f t="shared" si="0"/>
        <v>Normal</v>
      </c>
      <c r="Z26" s="20">
        <f t="shared" si="1"/>
        <v>-0.90300226125930139</v>
      </c>
      <c r="AA26" s="20">
        <f t="shared" si="2"/>
        <v>0.29730004153498213</v>
      </c>
      <c r="AB26" s="20">
        <f t="shared" si="3"/>
        <v>-0.53420948725738449</v>
      </c>
      <c r="AC26" s="20">
        <f t="shared" si="4"/>
        <v>-0.76970647329387121</v>
      </c>
      <c r="AD26" s="20"/>
    </row>
    <row r="27" spans="1:30" x14ac:dyDescent="0.45">
      <c r="A27" s="8" t="s">
        <v>403</v>
      </c>
      <c r="B27" s="8" t="s">
        <v>895</v>
      </c>
      <c r="C27" s="8">
        <v>37.4</v>
      </c>
      <c r="D27" s="8" t="s">
        <v>1010</v>
      </c>
      <c r="E27" s="8" t="s">
        <v>1012</v>
      </c>
      <c r="F27" s="8" t="s">
        <v>1019</v>
      </c>
      <c r="G27" s="8" t="s">
        <v>1020</v>
      </c>
      <c r="H27" s="8">
        <v>107401.8</v>
      </c>
      <c r="I27" s="8">
        <v>703</v>
      </c>
      <c r="J27" s="8">
        <v>0</v>
      </c>
      <c r="K27" s="8">
        <v>0</v>
      </c>
      <c r="L27" s="8">
        <v>115.1</v>
      </c>
      <c r="M27" s="8">
        <v>22234.74</v>
      </c>
      <c r="N27" s="8">
        <v>73604.320000000007</v>
      </c>
      <c r="O27" s="8" t="str">
        <f t="shared" si="5"/>
        <v>Not Fraud</v>
      </c>
      <c r="P27" s="8">
        <v>0</v>
      </c>
      <c r="Q27" s="8" t="s">
        <v>1025</v>
      </c>
      <c r="R27" s="8" t="s">
        <v>1030</v>
      </c>
      <c r="S27" s="8">
        <v>4329</v>
      </c>
      <c r="T27" s="8">
        <v>131</v>
      </c>
      <c r="U27" s="8">
        <v>633.85</v>
      </c>
      <c r="V27" s="8">
        <v>3.6</v>
      </c>
      <c r="W27" s="8">
        <v>3.1</v>
      </c>
      <c r="X27" s="8">
        <v>0</v>
      </c>
      <c r="Y27" s="20" t="str">
        <f t="shared" si="0"/>
        <v>Normal</v>
      </c>
      <c r="Z27" s="20">
        <f t="shared" si="1"/>
        <v>-0.90157065158510152</v>
      </c>
      <c r="AA27" s="20">
        <f t="shared" si="2"/>
        <v>0.11704210721156365</v>
      </c>
      <c r="AB27" s="20">
        <f t="shared" si="3"/>
        <v>0.69455170551323242</v>
      </c>
      <c r="AC27" s="20">
        <f t="shared" si="4"/>
        <v>0.70902621710098845</v>
      </c>
      <c r="AD27" s="20"/>
    </row>
    <row r="28" spans="1:30" x14ac:dyDescent="0.45">
      <c r="A28" s="8" t="s">
        <v>50</v>
      </c>
      <c r="B28" s="8" t="s">
        <v>550</v>
      </c>
      <c r="C28" s="8">
        <v>55.6</v>
      </c>
      <c r="D28" s="8" t="s">
        <v>1009</v>
      </c>
      <c r="E28" s="8" t="s">
        <v>1011</v>
      </c>
      <c r="F28" s="8" t="s">
        <v>1018</v>
      </c>
      <c r="G28" s="8" t="s">
        <v>1020</v>
      </c>
      <c r="H28" s="8">
        <v>157694.98000000001</v>
      </c>
      <c r="I28" s="8">
        <v>679</v>
      </c>
      <c r="J28" s="8">
        <v>1</v>
      </c>
      <c r="K28" s="8">
        <v>0</v>
      </c>
      <c r="L28" s="8">
        <v>116.58</v>
      </c>
      <c r="M28" s="8">
        <v>3899.71</v>
      </c>
      <c r="N28" s="8">
        <v>104626</v>
      </c>
      <c r="O28" s="8" t="str">
        <f t="shared" si="5"/>
        <v>Fraud</v>
      </c>
      <c r="P28" s="8">
        <v>1</v>
      </c>
      <c r="Q28" s="8" t="s">
        <v>1027</v>
      </c>
      <c r="R28" s="8" t="s">
        <v>1030</v>
      </c>
      <c r="S28" s="8">
        <v>1966</v>
      </c>
      <c r="T28" s="8">
        <v>244</v>
      </c>
      <c r="U28" s="8">
        <v>5697.12</v>
      </c>
      <c r="V28" s="8">
        <v>2.8</v>
      </c>
      <c r="W28" s="8">
        <v>5.3</v>
      </c>
      <c r="X28" s="8">
        <v>100.45</v>
      </c>
      <c r="Y28" s="20" t="str">
        <f t="shared" si="0"/>
        <v>Normal</v>
      </c>
      <c r="Z28" s="20">
        <f t="shared" si="1"/>
        <v>-0.90086439081249614</v>
      </c>
      <c r="AA28" s="20">
        <f t="shared" si="2"/>
        <v>-0.7979755516296595</v>
      </c>
      <c r="AB28" s="20">
        <f t="shared" si="3"/>
        <v>2.303736324447625</v>
      </c>
      <c r="AC28" s="20">
        <f t="shared" si="4"/>
        <v>2.8199057331839681</v>
      </c>
      <c r="AD28" s="20"/>
    </row>
    <row r="29" spans="1:30" x14ac:dyDescent="0.45">
      <c r="A29" s="8" t="s">
        <v>388</v>
      </c>
      <c r="B29" s="8" t="s">
        <v>882</v>
      </c>
      <c r="C29" s="8">
        <v>44</v>
      </c>
      <c r="D29" s="8" t="s">
        <v>1009</v>
      </c>
      <c r="E29" s="8" t="s">
        <v>1012</v>
      </c>
      <c r="F29" s="8" t="s">
        <v>1019</v>
      </c>
      <c r="G29" s="8" t="s">
        <v>1022</v>
      </c>
      <c r="H29" s="8">
        <v>105365.93</v>
      </c>
      <c r="I29" s="8">
        <v>501</v>
      </c>
      <c r="J29" s="8">
        <v>1</v>
      </c>
      <c r="K29" s="8">
        <v>0</v>
      </c>
      <c r="L29" s="8">
        <v>129.94999999999999</v>
      </c>
      <c r="M29" s="8">
        <v>37822.5</v>
      </c>
      <c r="N29" s="8">
        <v>78433</v>
      </c>
      <c r="O29" s="8" t="str">
        <f t="shared" si="5"/>
        <v>Fraud</v>
      </c>
      <c r="P29" s="8">
        <v>1</v>
      </c>
      <c r="Q29" s="8" t="s">
        <v>1026</v>
      </c>
      <c r="R29" s="8" t="s">
        <v>1028</v>
      </c>
      <c r="S29" s="8">
        <v>1456</v>
      </c>
      <c r="T29" s="8">
        <v>161</v>
      </c>
      <c r="U29" s="8">
        <v>6871.8</v>
      </c>
      <c r="V29" s="8">
        <v>6.2</v>
      </c>
      <c r="W29" s="8">
        <v>3.6</v>
      </c>
      <c r="X29" s="8">
        <v>118.31</v>
      </c>
      <c r="Y29" s="20" t="str">
        <f t="shared" si="0"/>
        <v>Normal</v>
      </c>
      <c r="Z29" s="20">
        <f t="shared" si="1"/>
        <v>-0.89448418369781191</v>
      </c>
      <c r="AA29" s="20">
        <f t="shared" si="2"/>
        <v>0.89495605999914352</v>
      </c>
      <c r="AB29" s="20">
        <f t="shared" si="3"/>
        <v>0.94502935810187738</v>
      </c>
      <c r="AC29" s="20">
        <f t="shared" si="4"/>
        <v>0.62357772725787508</v>
      </c>
      <c r="AD29" s="20"/>
    </row>
    <row r="30" spans="1:30" x14ac:dyDescent="0.45">
      <c r="A30" s="8" t="s">
        <v>507</v>
      </c>
      <c r="B30" s="8" t="s">
        <v>995</v>
      </c>
      <c r="C30" s="8">
        <v>38.700000000000003</v>
      </c>
      <c r="D30" s="8" t="s">
        <v>1009</v>
      </c>
      <c r="E30" s="8" t="s">
        <v>1014</v>
      </c>
      <c r="F30" s="8" t="s">
        <v>1016</v>
      </c>
      <c r="G30" s="8" t="s">
        <v>1020</v>
      </c>
      <c r="H30" s="8">
        <v>75691.77</v>
      </c>
      <c r="I30" s="8">
        <v>682</v>
      </c>
      <c r="J30" s="8">
        <v>0</v>
      </c>
      <c r="K30" s="8">
        <v>0</v>
      </c>
      <c r="L30" s="8">
        <v>135.76</v>
      </c>
      <c r="M30" s="8">
        <v>5351.17</v>
      </c>
      <c r="N30" s="8">
        <v>37669.51</v>
      </c>
      <c r="O30" s="8" t="str">
        <f t="shared" si="5"/>
        <v>Fraud</v>
      </c>
      <c r="P30" s="8">
        <v>1</v>
      </c>
      <c r="Q30" s="8" t="s">
        <v>1025</v>
      </c>
      <c r="R30" s="8" t="s">
        <v>1029</v>
      </c>
      <c r="S30" s="8">
        <v>2407</v>
      </c>
      <c r="T30" s="8">
        <v>29</v>
      </c>
      <c r="U30" s="8">
        <v>6850.88</v>
      </c>
      <c r="V30" s="8">
        <v>6.2</v>
      </c>
      <c r="W30" s="8">
        <v>4.3</v>
      </c>
      <c r="X30" s="8">
        <v>87.92</v>
      </c>
      <c r="Y30" s="20" t="str">
        <f t="shared" si="0"/>
        <v>Normal</v>
      </c>
      <c r="Z30" s="20">
        <f t="shared" si="1"/>
        <v>-0.89171163296211142</v>
      </c>
      <c r="AA30" s="20">
        <f t="shared" si="2"/>
        <v>-0.72553980807747098</v>
      </c>
      <c r="AB30" s="20">
        <f t="shared" si="3"/>
        <v>-1.1694912327264058</v>
      </c>
      <c r="AC30" s="20">
        <f t="shared" si="4"/>
        <v>-0.62189087307658142</v>
      </c>
      <c r="AD30" s="20"/>
    </row>
    <row r="31" spans="1:30" x14ac:dyDescent="0.45">
      <c r="A31" s="8" t="s">
        <v>49</v>
      </c>
      <c r="B31" s="8" t="s">
        <v>549</v>
      </c>
      <c r="C31" s="8">
        <v>32.700000000000003</v>
      </c>
      <c r="D31" s="8" t="s">
        <v>1009</v>
      </c>
      <c r="E31" s="8" t="s">
        <v>1012</v>
      </c>
      <c r="F31" s="8" t="s">
        <v>1019</v>
      </c>
      <c r="G31" s="8" t="s">
        <v>1023</v>
      </c>
      <c r="H31" s="8">
        <v>136931.96</v>
      </c>
      <c r="I31" s="8">
        <v>607</v>
      </c>
      <c r="J31" s="8">
        <v>1</v>
      </c>
      <c r="K31" s="8">
        <v>1</v>
      </c>
      <c r="L31" s="8">
        <v>145.29</v>
      </c>
      <c r="M31" s="8">
        <v>70768.02</v>
      </c>
      <c r="N31" s="8">
        <v>94650.3</v>
      </c>
      <c r="O31" s="8" t="str">
        <f t="shared" si="5"/>
        <v>Not Fraud</v>
      </c>
      <c r="P31" s="8">
        <v>0</v>
      </c>
      <c r="Q31" s="8" t="s">
        <v>1026</v>
      </c>
      <c r="R31" s="8" t="s">
        <v>1030</v>
      </c>
      <c r="S31" s="8">
        <v>2786</v>
      </c>
      <c r="T31" s="8">
        <v>273</v>
      </c>
      <c r="U31" s="8">
        <v>8905.7900000000009</v>
      </c>
      <c r="V31" s="8">
        <v>4.5999999999999996</v>
      </c>
      <c r="W31" s="8">
        <v>8</v>
      </c>
      <c r="X31" s="8">
        <v>0</v>
      </c>
      <c r="Y31" s="20" t="str">
        <f t="shared" si="0"/>
        <v>Normal</v>
      </c>
      <c r="Z31" s="20">
        <f t="shared" si="1"/>
        <v>-0.8871638862304031</v>
      </c>
      <c r="AA31" s="20">
        <f t="shared" si="2"/>
        <v>2.5391165865816849</v>
      </c>
      <c r="AB31" s="20">
        <f t="shared" si="3"/>
        <v>1.7862677991097382</v>
      </c>
      <c r="AC31" s="20">
        <f t="shared" si="4"/>
        <v>1.9484509234061562</v>
      </c>
      <c r="AD31" s="20"/>
    </row>
    <row r="32" spans="1:30" x14ac:dyDescent="0.45">
      <c r="A32" s="8" t="s">
        <v>62</v>
      </c>
      <c r="B32" s="8" t="s">
        <v>562</v>
      </c>
      <c r="C32" s="8">
        <v>53</v>
      </c>
      <c r="D32" s="8" t="s">
        <v>1009</v>
      </c>
      <c r="E32" s="8" t="s">
        <v>1015</v>
      </c>
      <c r="F32" s="8" t="s">
        <v>1019</v>
      </c>
      <c r="G32" s="8" t="s">
        <v>1020</v>
      </c>
      <c r="H32" s="8">
        <v>94132.78</v>
      </c>
      <c r="I32" s="8">
        <v>645</v>
      </c>
      <c r="J32" s="8">
        <v>0</v>
      </c>
      <c r="K32" s="8">
        <v>0</v>
      </c>
      <c r="L32" s="8">
        <v>146.63999999999999</v>
      </c>
      <c r="M32" s="8">
        <v>80935.41</v>
      </c>
      <c r="N32" s="8">
        <v>64784.94</v>
      </c>
      <c r="O32" s="8" t="str">
        <f t="shared" si="5"/>
        <v>Fraud</v>
      </c>
      <c r="P32" s="8">
        <v>1</v>
      </c>
      <c r="Q32" s="8" t="s">
        <v>1025</v>
      </c>
      <c r="R32" s="8" t="s">
        <v>1029</v>
      </c>
      <c r="S32" s="8">
        <v>3559</v>
      </c>
      <c r="T32" s="8">
        <v>113</v>
      </c>
      <c r="U32" s="8">
        <v>6715.5</v>
      </c>
      <c r="V32" s="8">
        <v>2.6</v>
      </c>
      <c r="W32" s="8">
        <v>5.0999999999999996</v>
      </c>
      <c r="X32" s="8">
        <v>95.59</v>
      </c>
      <c r="Y32" s="20" t="str">
        <f t="shared" si="0"/>
        <v>Normal</v>
      </c>
      <c r="Z32" s="20">
        <f t="shared" si="1"/>
        <v>-0.88651966187701303</v>
      </c>
      <c r="AA32" s="20">
        <f t="shared" si="2"/>
        <v>3.0465246134202371</v>
      </c>
      <c r="AB32" s="20">
        <f t="shared" si="3"/>
        <v>0.23706485616988246</v>
      </c>
      <c r="AC32" s="20">
        <f t="shared" si="4"/>
        <v>0.1521057257640839</v>
      </c>
      <c r="AD32" s="20"/>
    </row>
    <row r="33" spans="1:30" x14ac:dyDescent="0.45">
      <c r="A33" s="8" t="s">
        <v>229</v>
      </c>
      <c r="B33" s="8" t="s">
        <v>727</v>
      </c>
      <c r="C33" s="8">
        <v>57.7</v>
      </c>
      <c r="D33" s="8" t="s">
        <v>1010</v>
      </c>
      <c r="E33" s="8" t="s">
        <v>1013</v>
      </c>
      <c r="F33" s="8" t="s">
        <v>1017</v>
      </c>
      <c r="G33" s="8" t="s">
        <v>1022</v>
      </c>
      <c r="H33" s="8">
        <v>115096.47</v>
      </c>
      <c r="I33" s="8">
        <v>505</v>
      </c>
      <c r="J33" s="8">
        <v>0</v>
      </c>
      <c r="K33" s="8">
        <v>0</v>
      </c>
      <c r="L33" s="8">
        <v>149.91</v>
      </c>
      <c r="M33" s="8">
        <v>26562.41</v>
      </c>
      <c r="N33" s="8">
        <v>66534.899999999994</v>
      </c>
      <c r="O33" s="8" t="str">
        <f t="shared" si="5"/>
        <v>Fraud</v>
      </c>
      <c r="P33" s="8">
        <v>1</v>
      </c>
      <c r="Q33" s="8" t="s">
        <v>1024</v>
      </c>
      <c r="R33" s="8" t="s">
        <v>1028</v>
      </c>
      <c r="S33" s="8">
        <v>590</v>
      </c>
      <c r="T33" s="8">
        <v>137</v>
      </c>
      <c r="U33" s="8">
        <v>8138.02</v>
      </c>
      <c r="V33" s="8">
        <v>3.3</v>
      </c>
      <c r="W33" s="8">
        <v>3.1</v>
      </c>
      <c r="X33" s="8">
        <v>121.82</v>
      </c>
      <c r="Y33" s="20" t="str">
        <f t="shared" si="0"/>
        <v>Normal</v>
      </c>
      <c r="Z33" s="20">
        <f t="shared" si="1"/>
        <v>-0.88495920733213518</v>
      </c>
      <c r="AA33" s="20">
        <f t="shared" si="2"/>
        <v>0.33301636368332255</v>
      </c>
      <c r="AB33" s="20">
        <f t="shared" si="3"/>
        <v>0.32784036271080536</v>
      </c>
      <c r="AC33" s="20">
        <f t="shared" si="4"/>
        <v>1.0319829537006271</v>
      </c>
      <c r="AD33" s="20"/>
    </row>
    <row r="34" spans="1:30" x14ac:dyDescent="0.45">
      <c r="A34" s="8" t="s">
        <v>434</v>
      </c>
      <c r="B34" s="8" t="s">
        <v>924</v>
      </c>
      <c r="C34" s="8">
        <v>33.1</v>
      </c>
      <c r="D34" s="8" t="s">
        <v>1010</v>
      </c>
      <c r="E34" s="8" t="s">
        <v>1014</v>
      </c>
      <c r="F34" s="8" t="s">
        <v>1019</v>
      </c>
      <c r="G34" s="8" t="s">
        <v>1020</v>
      </c>
      <c r="H34" s="8">
        <v>87723.85</v>
      </c>
      <c r="I34" s="8">
        <v>564</v>
      </c>
      <c r="J34" s="8">
        <v>0</v>
      </c>
      <c r="K34" s="8">
        <v>0</v>
      </c>
      <c r="L34" s="8">
        <v>150.57</v>
      </c>
      <c r="M34" s="8">
        <v>81186.740000000005</v>
      </c>
      <c r="N34" s="8">
        <v>70450.28</v>
      </c>
      <c r="O34" s="8" t="str">
        <f t="shared" si="5"/>
        <v>Fraud</v>
      </c>
      <c r="P34" s="8">
        <v>1</v>
      </c>
      <c r="Q34" s="8" t="s">
        <v>1024</v>
      </c>
      <c r="R34" s="8" t="s">
        <v>1028</v>
      </c>
      <c r="S34" s="8">
        <v>2750</v>
      </c>
      <c r="T34" s="8">
        <v>89</v>
      </c>
      <c r="U34" s="8">
        <v>2697.83</v>
      </c>
      <c r="V34" s="8">
        <v>0.8</v>
      </c>
      <c r="W34" s="8">
        <v>7.1</v>
      </c>
      <c r="X34" s="8">
        <v>130.96</v>
      </c>
      <c r="Y34" s="20" t="str">
        <f t="shared" si="0"/>
        <v>Normal</v>
      </c>
      <c r="Z34" s="20">
        <f t="shared" si="1"/>
        <v>-0.88464425320381124</v>
      </c>
      <c r="AA34" s="20">
        <f t="shared" si="2"/>
        <v>3.0590673465489293</v>
      </c>
      <c r="AB34" s="20">
        <f t="shared" si="3"/>
        <v>0.53094249235959778</v>
      </c>
      <c r="AC34" s="20">
        <f t="shared" si="4"/>
        <v>-0.11688659202154179</v>
      </c>
      <c r="AD34" s="20"/>
    </row>
    <row r="35" spans="1:30" x14ac:dyDescent="0.45">
      <c r="A35" s="8" t="s">
        <v>242</v>
      </c>
      <c r="B35" s="8" t="s">
        <v>740</v>
      </c>
      <c r="C35" s="8">
        <v>51.2</v>
      </c>
      <c r="D35" s="8" t="s">
        <v>1009</v>
      </c>
      <c r="E35" s="8" t="s">
        <v>1014</v>
      </c>
      <c r="F35" s="8" t="s">
        <v>1016</v>
      </c>
      <c r="G35" s="8" t="s">
        <v>1020</v>
      </c>
      <c r="H35" s="8">
        <v>94663.7</v>
      </c>
      <c r="I35" s="8">
        <v>736</v>
      </c>
      <c r="J35" s="8">
        <v>1</v>
      </c>
      <c r="K35" s="8">
        <v>0</v>
      </c>
      <c r="L35" s="8">
        <v>151.38</v>
      </c>
      <c r="M35" s="8">
        <v>484.75</v>
      </c>
      <c r="N35" s="8">
        <v>82508.7</v>
      </c>
      <c r="O35" s="8" t="str">
        <f t="shared" si="5"/>
        <v>Not Fraud</v>
      </c>
      <c r="P35" s="8">
        <v>0</v>
      </c>
      <c r="Q35" s="8" t="s">
        <v>1026</v>
      </c>
      <c r="R35" s="8" t="s">
        <v>1029</v>
      </c>
      <c r="S35" s="8">
        <v>3300</v>
      </c>
      <c r="T35" s="8">
        <v>54</v>
      </c>
      <c r="U35" s="8">
        <v>8426.15</v>
      </c>
      <c r="V35" s="8">
        <v>3.8</v>
      </c>
      <c r="W35" s="8">
        <v>9.5</v>
      </c>
      <c r="X35" s="8">
        <v>0</v>
      </c>
      <c r="Y35" s="20" t="str">
        <f t="shared" si="0"/>
        <v>Normal</v>
      </c>
      <c r="Z35" s="20">
        <f t="shared" si="1"/>
        <v>-0.88425771859177726</v>
      </c>
      <c r="AA35" s="20">
        <f t="shared" si="2"/>
        <v>-0.96840061797732413</v>
      </c>
      <c r="AB35" s="20">
        <f t="shared" si="3"/>
        <v>1.1564477516702107</v>
      </c>
      <c r="AC35" s="20">
        <f t="shared" si="4"/>
        <v>0.17438922727818126</v>
      </c>
      <c r="AD35" s="20"/>
    </row>
    <row r="36" spans="1:30" x14ac:dyDescent="0.45">
      <c r="A36" s="8" t="s">
        <v>368</v>
      </c>
      <c r="B36" s="8" t="s">
        <v>863</v>
      </c>
      <c r="C36" s="8">
        <v>53.5</v>
      </c>
      <c r="D36" s="8" t="s">
        <v>1009</v>
      </c>
      <c r="E36" s="8" t="s">
        <v>1014</v>
      </c>
      <c r="F36" s="8" t="s">
        <v>1019</v>
      </c>
      <c r="G36" s="8" t="s">
        <v>1020</v>
      </c>
      <c r="H36" s="8">
        <v>102870.69</v>
      </c>
      <c r="I36" s="8">
        <v>647</v>
      </c>
      <c r="J36" s="8">
        <v>0</v>
      </c>
      <c r="K36" s="8">
        <v>0</v>
      </c>
      <c r="L36" s="8">
        <v>161.30000000000001</v>
      </c>
      <c r="M36" s="8">
        <v>39525.870000000003</v>
      </c>
      <c r="N36" s="8">
        <v>80150.27</v>
      </c>
      <c r="O36" s="8" t="str">
        <f t="shared" si="5"/>
        <v>Not Fraud</v>
      </c>
      <c r="P36" s="8">
        <v>0</v>
      </c>
      <c r="Q36" s="8" t="s">
        <v>1026</v>
      </c>
      <c r="R36" s="8" t="s">
        <v>1030</v>
      </c>
      <c r="S36" s="8">
        <v>3636</v>
      </c>
      <c r="T36" s="8">
        <v>67</v>
      </c>
      <c r="U36" s="8">
        <v>853.04</v>
      </c>
      <c r="V36" s="8">
        <v>5.0999999999999996</v>
      </c>
      <c r="W36" s="8">
        <v>6.8</v>
      </c>
      <c r="X36" s="8">
        <v>0</v>
      </c>
      <c r="Y36" s="20" t="str">
        <f t="shared" si="0"/>
        <v>Normal</v>
      </c>
      <c r="Z36" s="20">
        <f t="shared" si="1"/>
        <v>-0.87952386260242288</v>
      </c>
      <c r="AA36" s="20">
        <f t="shared" si="2"/>
        <v>0.97996348183267079</v>
      </c>
      <c r="AB36" s="20">
        <f t="shared" si="3"/>
        <v>1.0341091394211828</v>
      </c>
      <c r="AC36" s="20">
        <f t="shared" si="4"/>
        <v>0.51884879574646792</v>
      </c>
      <c r="AD36" s="20"/>
    </row>
    <row r="37" spans="1:30" x14ac:dyDescent="0.45">
      <c r="A37" s="8" t="s">
        <v>165</v>
      </c>
      <c r="B37" s="8" t="s">
        <v>663</v>
      </c>
      <c r="C37" s="8">
        <v>25.9</v>
      </c>
      <c r="D37" s="8" t="s">
        <v>1009</v>
      </c>
      <c r="E37" s="8" t="s">
        <v>1012</v>
      </c>
      <c r="F37" s="8" t="s">
        <v>1017</v>
      </c>
      <c r="G37" s="8" t="s">
        <v>1020</v>
      </c>
      <c r="H37" s="8">
        <v>132311.64000000001</v>
      </c>
      <c r="I37" s="8">
        <v>665</v>
      </c>
      <c r="J37" s="8">
        <v>0</v>
      </c>
      <c r="K37" s="8">
        <v>1</v>
      </c>
      <c r="L37" s="8">
        <v>163.78</v>
      </c>
      <c r="M37" s="8">
        <v>22635.88</v>
      </c>
      <c r="N37" s="8">
        <v>96010.22</v>
      </c>
      <c r="O37" s="8" t="str">
        <f t="shared" si="5"/>
        <v>Not Fraud</v>
      </c>
      <c r="P37" s="8">
        <v>0</v>
      </c>
      <c r="Q37" s="8" t="s">
        <v>1027</v>
      </c>
      <c r="R37" s="8" t="s">
        <v>1028</v>
      </c>
      <c r="S37" s="8">
        <v>4353</v>
      </c>
      <c r="T37" s="8">
        <v>148</v>
      </c>
      <c r="U37" s="8">
        <v>8405.6</v>
      </c>
      <c r="V37" s="8">
        <v>6.4</v>
      </c>
      <c r="W37" s="8">
        <v>7.2</v>
      </c>
      <c r="X37" s="8">
        <v>0</v>
      </c>
      <c r="Y37" s="20" t="str">
        <f t="shared" si="0"/>
        <v>Normal</v>
      </c>
      <c r="Z37" s="20">
        <f t="shared" si="1"/>
        <v>-0.87834039860508428</v>
      </c>
      <c r="AA37" s="20">
        <f t="shared" si="2"/>
        <v>0.13706117364710085</v>
      </c>
      <c r="AB37" s="20">
        <f t="shared" si="3"/>
        <v>1.8568107982955093</v>
      </c>
      <c r="AC37" s="20">
        <f t="shared" si="4"/>
        <v>1.7545292257575194</v>
      </c>
      <c r="AD37" s="20"/>
    </row>
    <row r="38" spans="1:30" x14ac:dyDescent="0.45">
      <c r="A38" s="8" t="s">
        <v>342</v>
      </c>
      <c r="B38" s="8" t="s">
        <v>765</v>
      </c>
      <c r="C38" s="8">
        <v>48</v>
      </c>
      <c r="D38" s="8" t="s">
        <v>1010</v>
      </c>
      <c r="E38" s="8" t="s">
        <v>1013</v>
      </c>
      <c r="F38" s="8" t="s">
        <v>1016</v>
      </c>
      <c r="G38" s="8" t="s">
        <v>1023</v>
      </c>
      <c r="H38" s="8">
        <v>79490.179999999993</v>
      </c>
      <c r="I38" s="8">
        <v>752</v>
      </c>
      <c r="J38" s="8">
        <v>0</v>
      </c>
      <c r="K38" s="8">
        <v>1</v>
      </c>
      <c r="L38" s="8">
        <v>170.98</v>
      </c>
      <c r="M38" s="8">
        <v>4037.76</v>
      </c>
      <c r="N38" s="8">
        <v>34134.54</v>
      </c>
      <c r="O38" s="8" t="str">
        <f t="shared" si="5"/>
        <v>Not Fraud</v>
      </c>
      <c r="P38" s="8">
        <v>0</v>
      </c>
      <c r="Q38" s="8" t="s">
        <v>1024</v>
      </c>
      <c r="R38" s="8" t="s">
        <v>1030</v>
      </c>
      <c r="S38" s="8">
        <v>646</v>
      </c>
      <c r="T38" s="8">
        <v>142</v>
      </c>
      <c r="U38" s="8">
        <v>9044.77</v>
      </c>
      <c r="V38" s="8">
        <v>2.7</v>
      </c>
      <c r="W38" s="8">
        <v>4.4000000000000004</v>
      </c>
      <c r="X38" s="8">
        <v>0</v>
      </c>
      <c r="Y38" s="20" t="str">
        <f t="shared" si="0"/>
        <v>Normal</v>
      </c>
      <c r="Z38" s="20">
        <f t="shared" si="1"/>
        <v>-0.87490453538700452</v>
      </c>
      <c r="AA38" s="20">
        <f t="shared" si="2"/>
        <v>-0.79108610624543962</v>
      </c>
      <c r="AB38" s="20">
        <f t="shared" si="3"/>
        <v>-1.3528603910825783</v>
      </c>
      <c r="AC38" s="20">
        <f t="shared" si="4"/>
        <v>-0.46246595974469973</v>
      </c>
      <c r="AD38" s="20"/>
    </row>
    <row r="39" spans="1:30" x14ac:dyDescent="0.45">
      <c r="A39" s="8" t="s">
        <v>150</v>
      </c>
      <c r="B39" s="8" t="s">
        <v>648</v>
      </c>
      <c r="C39" s="8">
        <v>41.5</v>
      </c>
      <c r="D39" s="8" t="s">
        <v>1009</v>
      </c>
      <c r="E39" s="8" t="s">
        <v>1014</v>
      </c>
      <c r="F39" s="8" t="s">
        <v>1018</v>
      </c>
      <c r="G39" s="8" t="s">
        <v>1023</v>
      </c>
      <c r="H39" s="8">
        <v>82954.48</v>
      </c>
      <c r="I39" s="8">
        <v>756</v>
      </c>
      <c r="J39" s="8">
        <v>1</v>
      </c>
      <c r="K39" s="8">
        <v>0</v>
      </c>
      <c r="L39" s="8">
        <v>175.94</v>
      </c>
      <c r="M39" s="8">
        <v>13452.94</v>
      </c>
      <c r="N39" s="8">
        <v>44745.5</v>
      </c>
      <c r="O39" s="8" t="str">
        <f t="shared" si="5"/>
        <v>Fraud</v>
      </c>
      <c r="P39" s="8">
        <v>1</v>
      </c>
      <c r="Q39" s="8" t="s">
        <v>1027</v>
      </c>
      <c r="R39" s="8" t="s">
        <v>1028</v>
      </c>
      <c r="S39" s="8">
        <v>1879</v>
      </c>
      <c r="T39" s="8">
        <v>145</v>
      </c>
      <c r="U39" s="8">
        <v>8894.2900000000009</v>
      </c>
      <c r="V39" s="8">
        <v>4.2</v>
      </c>
      <c r="W39" s="8">
        <v>8.1</v>
      </c>
      <c r="X39" s="8">
        <v>104.49</v>
      </c>
      <c r="Y39" s="20" t="str">
        <f t="shared" si="0"/>
        <v>Normal</v>
      </c>
      <c r="Z39" s="20">
        <f t="shared" si="1"/>
        <v>-0.87253760739232733</v>
      </c>
      <c r="AA39" s="20">
        <f t="shared" si="2"/>
        <v>-0.32121744711760042</v>
      </c>
      <c r="AB39" s="20">
        <f t="shared" si="3"/>
        <v>-0.80243908494673777</v>
      </c>
      <c r="AC39" s="20">
        <f t="shared" si="4"/>
        <v>-0.31706413970535696</v>
      </c>
      <c r="AD39" s="20"/>
    </row>
    <row r="40" spans="1:30" x14ac:dyDescent="0.45">
      <c r="A40" s="8" t="s">
        <v>484</v>
      </c>
      <c r="B40" s="8" t="s">
        <v>973</v>
      </c>
      <c r="C40" s="8">
        <v>50.5</v>
      </c>
      <c r="D40" s="8" t="s">
        <v>1010</v>
      </c>
      <c r="E40" s="8" t="s">
        <v>1013</v>
      </c>
      <c r="F40" s="8" t="s">
        <v>1018</v>
      </c>
      <c r="G40" s="8" t="s">
        <v>1023</v>
      </c>
      <c r="H40" s="8">
        <v>95483.520000000004</v>
      </c>
      <c r="I40" s="8">
        <v>780</v>
      </c>
      <c r="J40" s="8">
        <v>0</v>
      </c>
      <c r="K40" s="8">
        <v>1</v>
      </c>
      <c r="L40" s="8">
        <v>180.15</v>
      </c>
      <c r="M40" s="8">
        <v>32430.39</v>
      </c>
      <c r="N40" s="8">
        <v>81943.05</v>
      </c>
      <c r="O40" s="8" t="str">
        <f t="shared" si="5"/>
        <v>Not Fraud</v>
      </c>
      <c r="P40" s="8">
        <v>0</v>
      </c>
      <c r="Q40" s="8" t="s">
        <v>1024</v>
      </c>
      <c r="R40" s="8" t="s">
        <v>1026</v>
      </c>
      <c r="S40" s="8">
        <v>3800</v>
      </c>
      <c r="T40" s="8">
        <v>6</v>
      </c>
      <c r="U40" s="8">
        <v>4163.59</v>
      </c>
      <c r="V40" s="8">
        <v>2.7</v>
      </c>
      <c r="W40" s="8">
        <v>2.8</v>
      </c>
      <c r="X40" s="8">
        <v>0</v>
      </c>
      <c r="Y40" s="20" t="str">
        <f t="shared" si="0"/>
        <v>Normal</v>
      </c>
      <c r="Z40" s="20">
        <f t="shared" si="1"/>
        <v>-0.87052858181620008</v>
      </c>
      <c r="AA40" s="20">
        <f t="shared" si="2"/>
        <v>0.62586046166009812</v>
      </c>
      <c r="AB40" s="20">
        <f t="shared" si="3"/>
        <v>1.1271058436981014</v>
      </c>
      <c r="AC40" s="20">
        <f t="shared" si="4"/>
        <v>0.20879829118853974</v>
      </c>
      <c r="AD40" s="20"/>
    </row>
    <row r="41" spans="1:30" x14ac:dyDescent="0.45">
      <c r="A41" s="8" t="s">
        <v>202</v>
      </c>
      <c r="B41" s="8" t="s">
        <v>700</v>
      </c>
      <c r="C41" s="8">
        <v>90</v>
      </c>
      <c r="D41" s="8" t="s">
        <v>1010</v>
      </c>
      <c r="E41" s="8" t="s">
        <v>1013</v>
      </c>
      <c r="F41" s="8" t="s">
        <v>1019</v>
      </c>
      <c r="G41" s="8" t="s">
        <v>1022</v>
      </c>
      <c r="H41" s="8">
        <v>91766.32</v>
      </c>
      <c r="I41" s="8">
        <v>608</v>
      </c>
      <c r="J41" s="8">
        <v>1</v>
      </c>
      <c r="K41" s="8">
        <v>1</v>
      </c>
      <c r="L41" s="8">
        <v>182.95</v>
      </c>
      <c r="M41" s="8">
        <v>3457.01</v>
      </c>
      <c r="N41" s="8">
        <v>57935.56</v>
      </c>
      <c r="O41" s="8" t="str">
        <f t="shared" si="5"/>
        <v>Fraud</v>
      </c>
      <c r="P41" s="8">
        <v>1</v>
      </c>
      <c r="Q41" s="8" t="s">
        <v>1024</v>
      </c>
      <c r="R41" s="8" t="s">
        <v>1026</v>
      </c>
      <c r="S41" s="8">
        <v>274</v>
      </c>
      <c r="T41" s="8">
        <v>203</v>
      </c>
      <c r="U41" s="8">
        <v>3818.49</v>
      </c>
      <c r="V41" s="8">
        <v>2.1</v>
      </c>
      <c r="W41" s="8">
        <v>4.2</v>
      </c>
      <c r="X41" s="8">
        <v>149.41</v>
      </c>
      <c r="Y41" s="20" t="str">
        <f t="shared" si="0"/>
        <v>Normal</v>
      </c>
      <c r="Z41" s="20">
        <f t="shared" si="1"/>
        <v>-0.86919241278694681</v>
      </c>
      <c r="AA41" s="20">
        <f t="shared" si="2"/>
        <v>-0.82006868796862409</v>
      </c>
      <c r="AB41" s="20">
        <f t="shared" si="3"/>
        <v>-0.11823237290465055</v>
      </c>
      <c r="AC41" s="20">
        <f t="shared" si="4"/>
        <v>5.278188226025872E-2</v>
      </c>
      <c r="AD41" s="20"/>
    </row>
    <row r="42" spans="1:30" x14ac:dyDescent="0.45">
      <c r="A42" s="8" t="s">
        <v>40</v>
      </c>
      <c r="B42" s="8" t="s">
        <v>540</v>
      </c>
      <c r="C42" s="8">
        <v>54.7</v>
      </c>
      <c r="D42" s="8" t="s">
        <v>1009</v>
      </c>
      <c r="E42" s="8" t="s">
        <v>1014</v>
      </c>
      <c r="F42" s="8" t="s">
        <v>1019</v>
      </c>
      <c r="G42" s="8" t="s">
        <v>1022</v>
      </c>
      <c r="H42" s="8">
        <v>85975.92</v>
      </c>
      <c r="I42" s="8">
        <v>616</v>
      </c>
      <c r="J42" s="8">
        <v>0</v>
      </c>
      <c r="K42" s="8">
        <v>1</v>
      </c>
      <c r="L42" s="8">
        <v>185.1</v>
      </c>
      <c r="M42" s="8">
        <v>1671.69</v>
      </c>
      <c r="N42" s="8">
        <v>53323.61</v>
      </c>
      <c r="O42" s="8" t="str">
        <f t="shared" si="5"/>
        <v>Not Fraud</v>
      </c>
      <c r="P42" s="8">
        <v>0</v>
      </c>
      <c r="Q42" s="8" t="s">
        <v>1025</v>
      </c>
      <c r="R42" s="8" t="s">
        <v>1030</v>
      </c>
      <c r="S42" s="8">
        <v>3897</v>
      </c>
      <c r="T42" s="8">
        <v>23</v>
      </c>
      <c r="U42" s="8">
        <v>3564.18</v>
      </c>
      <c r="V42" s="8">
        <v>4.9000000000000004</v>
      </c>
      <c r="W42" s="8">
        <v>4.3</v>
      </c>
      <c r="X42" s="8">
        <v>0</v>
      </c>
      <c r="Y42" s="20" t="str">
        <f t="shared" si="0"/>
        <v>Normal</v>
      </c>
      <c r="Z42" s="20">
        <f t="shared" si="1"/>
        <v>-0.86816642585377024</v>
      </c>
      <c r="AA42" s="20">
        <f t="shared" si="2"/>
        <v>-0.90916586024935753</v>
      </c>
      <c r="AB42" s="20">
        <f t="shared" si="3"/>
        <v>-0.35746761107661507</v>
      </c>
      <c r="AC42" s="20">
        <f t="shared" si="4"/>
        <v>-0.19024981209525632</v>
      </c>
      <c r="AD42" s="20"/>
    </row>
    <row r="43" spans="1:30" x14ac:dyDescent="0.45">
      <c r="A43" s="8" t="s">
        <v>254</v>
      </c>
      <c r="B43" s="8" t="s">
        <v>752</v>
      </c>
      <c r="C43" s="8">
        <v>53.2</v>
      </c>
      <c r="D43" s="8" t="s">
        <v>1010</v>
      </c>
      <c r="E43" s="8" t="s">
        <v>1014</v>
      </c>
      <c r="F43" s="8" t="s">
        <v>1017</v>
      </c>
      <c r="G43" s="8" t="s">
        <v>1023</v>
      </c>
      <c r="H43" s="8">
        <v>89760.84</v>
      </c>
      <c r="I43" s="8">
        <v>670</v>
      </c>
      <c r="J43" s="8">
        <v>1</v>
      </c>
      <c r="K43" s="8">
        <v>1</v>
      </c>
      <c r="L43" s="8">
        <v>187.46</v>
      </c>
      <c r="M43" s="8">
        <v>456.46</v>
      </c>
      <c r="N43" s="8">
        <v>49735.73</v>
      </c>
      <c r="O43" s="8" t="str">
        <f t="shared" si="5"/>
        <v>Not Fraud</v>
      </c>
      <c r="P43" s="8">
        <v>0</v>
      </c>
      <c r="Q43" s="8" t="s">
        <v>1026</v>
      </c>
      <c r="R43" s="8" t="s">
        <v>1029</v>
      </c>
      <c r="S43" s="8">
        <v>1617</v>
      </c>
      <c r="T43" s="8">
        <v>254</v>
      </c>
      <c r="U43" s="8">
        <v>4084.75</v>
      </c>
      <c r="V43" s="8">
        <v>2.4</v>
      </c>
      <c r="W43" s="8">
        <v>2.9</v>
      </c>
      <c r="X43" s="8">
        <v>0</v>
      </c>
      <c r="Y43" s="20" t="str">
        <f t="shared" si="0"/>
        <v>Normal</v>
      </c>
      <c r="Z43" s="20">
        <f t="shared" si="1"/>
        <v>-0.8670402262433996</v>
      </c>
      <c r="AA43" s="20">
        <f t="shared" si="2"/>
        <v>-0.96981244275037437</v>
      </c>
      <c r="AB43" s="20">
        <f t="shared" si="3"/>
        <v>-0.54358136476701246</v>
      </c>
      <c r="AC43" s="20">
        <f t="shared" si="4"/>
        <v>-3.1391094113756915E-2</v>
      </c>
      <c r="AD43" s="20"/>
    </row>
    <row r="44" spans="1:30" x14ac:dyDescent="0.45">
      <c r="A44" s="8" t="s">
        <v>439</v>
      </c>
      <c r="B44" s="8" t="s">
        <v>929</v>
      </c>
      <c r="C44" s="8">
        <v>73.3</v>
      </c>
      <c r="D44" s="8" t="s">
        <v>1009</v>
      </c>
      <c r="E44" s="8" t="s">
        <v>1012</v>
      </c>
      <c r="F44" s="8" t="s">
        <v>1018</v>
      </c>
      <c r="G44" s="8" t="s">
        <v>1022</v>
      </c>
      <c r="H44" s="8">
        <v>113796.47</v>
      </c>
      <c r="I44" s="8">
        <v>677</v>
      </c>
      <c r="J44" s="8">
        <v>1</v>
      </c>
      <c r="K44" s="8">
        <v>1</v>
      </c>
      <c r="L44" s="8">
        <v>189.54</v>
      </c>
      <c r="M44" s="8">
        <v>10727.85</v>
      </c>
      <c r="N44" s="8">
        <v>81038.95</v>
      </c>
      <c r="O44" s="8" t="str">
        <f t="shared" si="5"/>
        <v>Fraud</v>
      </c>
      <c r="P44" s="8">
        <v>1</v>
      </c>
      <c r="Q44" s="8" t="s">
        <v>1026</v>
      </c>
      <c r="R44" s="8" t="s">
        <v>1030</v>
      </c>
      <c r="S44" s="8">
        <v>2543</v>
      </c>
      <c r="T44" s="8">
        <v>228</v>
      </c>
      <c r="U44" s="8">
        <v>9422.16</v>
      </c>
      <c r="V44" s="8">
        <v>3.7</v>
      </c>
      <c r="W44" s="8">
        <v>6.6</v>
      </c>
      <c r="X44" s="8">
        <v>177.55</v>
      </c>
      <c r="Y44" s="20" t="str">
        <f t="shared" si="0"/>
        <v>Normal</v>
      </c>
      <c r="Z44" s="20">
        <f t="shared" si="1"/>
        <v>-0.86604764353595443</v>
      </c>
      <c r="AA44" s="20">
        <f t="shared" si="2"/>
        <v>-0.45721425060969334</v>
      </c>
      <c r="AB44" s="20">
        <f t="shared" si="3"/>
        <v>1.0802075514721936</v>
      </c>
      <c r="AC44" s="20">
        <f t="shared" si="4"/>
        <v>0.97742002149176954</v>
      </c>
      <c r="AD44" s="20"/>
    </row>
    <row r="45" spans="1:30" x14ac:dyDescent="0.45">
      <c r="A45" s="8" t="s">
        <v>259</v>
      </c>
      <c r="B45" s="8" t="s">
        <v>757</v>
      </c>
      <c r="C45" s="8">
        <v>19.600000000000001</v>
      </c>
      <c r="D45" s="8" t="s">
        <v>1009</v>
      </c>
      <c r="E45" s="8" t="s">
        <v>1014</v>
      </c>
      <c r="F45" s="8" t="s">
        <v>1016</v>
      </c>
      <c r="G45" s="8" t="s">
        <v>1020</v>
      </c>
      <c r="H45" s="8">
        <v>148819.91</v>
      </c>
      <c r="I45" s="8">
        <v>611</v>
      </c>
      <c r="J45" s="8">
        <v>1</v>
      </c>
      <c r="K45" s="8">
        <v>1</v>
      </c>
      <c r="L45" s="8">
        <v>190.21</v>
      </c>
      <c r="M45" s="8">
        <v>33231.589999999997</v>
      </c>
      <c r="N45" s="8">
        <v>108252.31</v>
      </c>
      <c r="O45" s="8" t="str">
        <f t="shared" si="5"/>
        <v>Not Fraud</v>
      </c>
      <c r="P45" s="8">
        <v>0</v>
      </c>
      <c r="Q45" s="8" t="s">
        <v>1026</v>
      </c>
      <c r="R45" s="8" t="s">
        <v>1029</v>
      </c>
      <c r="S45" s="8">
        <v>62</v>
      </c>
      <c r="T45" s="8">
        <v>206</v>
      </c>
      <c r="U45" s="8">
        <v>155.01</v>
      </c>
      <c r="V45" s="8">
        <v>2.4</v>
      </c>
      <c r="W45" s="8">
        <v>5.3</v>
      </c>
      <c r="X45" s="8">
        <v>0</v>
      </c>
      <c r="Y45" s="20" t="str">
        <f t="shared" si="0"/>
        <v>Normal</v>
      </c>
      <c r="Z45" s="20">
        <f t="shared" si="1"/>
        <v>-0.86572791737538302</v>
      </c>
      <c r="AA45" s="20">
        <f t="shared" si="2"/>
        <v>0.66584469666072732</v>
      </c>
      <c r="AB45" s="20">
        <f t="shared" si="3"/>
        <v>2.4918435538268198</v>
      </c>
      <c r="AC45" s="20">
        <f t="shared" si="4"/>
        <v>2.4474058541386863</v>
      </c>
      <c r="AD45" s="20"/>
    </row>
    <row r="46" spans="1:30" x14ac:dyDescent="0.45">
      <c r="A46" s="8" t="s">
        <v>77</v>
      </c>
      <c r="B46" s="8" t="s">
        <v>577</v>
      </c>
      <c r="C46" s="8">
        <v>65.5</v>
      </c>
      <c r="D46" s="8" t="s">
        <v>1010</v>
      </c>
      <c r="E46" s="8" t="s">
        <v>1012</v>
      </c>
      <c r="F46" s="8" t="s">
        <v>1016</v>
      </c>
      <c r="G46" s="8" t="s">
        <v>1021</v>
      </c>
      <c r="H46" s="8">
        <v>105164.26</v>
      </c>
      <c r="I46" s="8">
        <v>519</v>
      </c>
      <c r="J46" s="8">
        <v>0</v>
      </c>
      <c r="K46" s="8">
        <v>0</v>
      </c>
      <c r="L46" s="8">
        <v>196.46</v>
      </c>
      <c r="M46" s="8">
        <v>34350.22</v>
      </c>
      <c r="N46" s="8">
        <v>81715.73</v>
      </c>
      <c r="O46" s="8" t="str">
        <f t="shared" si="5"/>
        <v>Fraud</v>
      </c>
      <c r="P46" s="8">
        <v>1</v>
      </c>
      <c r="Q46" s="8" t="s">
        <v>1026</v>
      </c>
      <c r="R46" s="8" t="s">
        <v>1026</v>
      </c>
      <c r="S46" s="8">
        <v>3431</v>
      </c>
      <c r="T46" s="8">
        <v>2</v>
      </c>
      <c r="U46" s="8">
        <v>9295.76</v>
      </c>
      <c r="V46" s="8">
        <v>5.3</v>
      </c>
      <c r="W46" s="8">
        <v>6.4</v>
      </c>
      <c r="X46" s="8">
        <v>191.86</v>
      </c>
      <c r="Y46" s="20" t="str">
        <f t="shared" si="0"/>
        <v>Normal</v>
      </c>
      <c r="Z46" s="20">
        <f t="shared" si="1"/>
        <v>-0.8627453972207999</v>
      </c>
      <c r="AA46" s="20">
        <f t="shared" si="2"/>
        <v>0.72167041408303645</v>
      </c>
      <c r="AB46" s="20">
        <f t="shared" si="3"/>
        <v>1.1153140952313458</v>
      </c>
      <c r="AC46" s="20">
        <f t="shared" si="4"/>
        <v>0.61511333761282871</v>
      </c>
      <c r="AD46" s="20"/>
    </row>
    <row r="47" spans="1:30" x14ac:dyDescent="0.45">
      <c r="A47" s="8" t="s">
        <v>476</v>
      </c>
      <c r="B47" s="8" t="s">
        <v>965</v>
      </c>
      <c r="C47" s="8">
        <v>57.6</v>
      </c>
      <c r="D47" s="8" t="s">
        <v>1010</v>
      </c>
      <c r="E47" s="8" t="s">
        <v>1013</v>
      </c>
      <c r="F47" s="8" t="s">
        <v>1019</v>
      </c>
      <c r="G47" s="8" t="s">
        <v>1020</v>
      </c>
      <c r="H47" s="8">
        <v>115384.86</v>
      </c>
      <c r="I47" s="8">
        <v>638</v>
      </c>
      <c r="J47" s="8">
        <v>0</v>
      </c>
      <c r="K47" s="8">
        <v>1</v>
      </c>
      <c r="L47" s="8">
        <v>199.31</v>
      </c>
      <c r="M47" s="8">
        <v>2344.2399999999998</v>
      </c>
      <c r="N47" s="8">
        <v>60995.47</v>
      </c>
      <c r="O47" s="8" t="str">
        <f t="shared" si="5"/>
        <v>Fraud</v>
      </c>
      <c r="P47" s="8">
        <v>1</v>
      </c>
      <c r="Q47" s="8" t="s">
        <v>1024</v>
      </c>
      <c r="R47" s="8" t="s">
        <v>1029</v>
      </c>
      <c r="S47" s="8">
        <v>1591</v>
      </c>
      <c r="T47" s="8">
        <v>273</v>
      </c>
      <c r="U47" s="8">
        <v>9310.9500000000007</v>
      </c>
      <c r="V47" s="8">
        <v>2.5</v>
      </c>
      <c r="W47" s="8">
        <v>4.7</v>
      </c>
      <c r="X47" s="8">
        <v>142.94999999999999</v>
      </c>
      <c r="Y47" s="20" t="str">
        <f t="shared" si="0"/>
        <v>Normal</v>
      </c>
      <c r="Z47" s="20">
        <f t="shared" si="1"/>
        <v>-0.86138536803031007</v>
      </c>
      <c r="AA47" s="20">
        <f t="shared" si="2"/>
        <v>-0.87560195953833253</v>
      </c>
      <c r="AB47" s="20">
        <f t="shared" si="3"/>
        <v>4.0494043824667258E-2</v>
      </c>
      <c r="AC47" s="20">
        <f t="shared" si="4"/>
        <v>1.0440871106388674</v>
      </c>
      <c r="AD47" s="20"/>
    </row>
    <row r="48" spans="1:30" x14ac:dyDescent="0.45">
      <c r="A48" s="8" t="s">
        <v>502</v>
      </c>
      <c r="B48" s="8" t="s">
        <v>990</v>
      </c>
      <c r="C48" s="8">
        <v>66.8</v>
      </c>
      <c r="D48" s="8" t="s">
        <v>1009</v>
      </c>
      <c r="E48" s="8" t="s">
        <v>1012</v>
      </c>
      <c r="F48" s="8" t="s">
        <v>1016</v>
      </c>
      <c r="G48" s="8" t="s">
        <v>1021</v>
      </c>
      <c r="H48" s="8">
        <v>122474.16</v>
      </c>
      <c r="I48" s="8">
        <v>542</v>
      </c>
      <c r="J48" s="8">
        <v>0</v>
      </c>
      <c r="K48" s="8">
        <v>0</v>
      </c>
      <c r="L48" s="8">
        <v>204.9</v>
      </c>
      <c r="M48" s="8">
        <v>2048.7800000000002</v>
      </c>
      <c r="N48" s="8">
        <v>82253.77</v>
      </c>
      <c r="O48" s="8" t="str">
        <f t="shared" si="5"/>
        <v>Fraud</v>
      </c>
      <c r="P48" s="8">
        <v>1</v>
      </c>
      <c r="Q48" s="8" t="s">
        <v>1027</v>
      </c>
      <c r="R48" s="8" t="s">
        <v>1028</v>
      </c>
      <c r="S48" s="8">
        <v>954</v>
      </c>
      <c r="T48" s="8">
        <v>135</v>
      </c>
      <c r="U48" s="8">
        <v>9107.32</v>
      </c>
      <c r="V48" s="8">
        <v>4.5999999999999996</v>
      </c>
      <c r="W48" s="8">
        <v>8.9</v>
      </c>
      <c r="X48" s="8">
        <v>120.56</v>
      </c>
      <c r="Y48" s="20" t="str">
        <f t="shared" si="0"/>
        <v>Normal</v>
      </c>
      <c r="Z48" s="20">
        <f t="shared" si="1"/>
        <v>-0.85871780200405079</v>
      </c>
      <c r="AA48" s="20">
        <f t="shared" si="2"/>
        <v>-0.89034701953993756</v>
      </c>
      <c r="AB48" s="20">
        <f t="shared" si="3"/>
        <v>1.1432237923325821</v>
      </c>
      <c r="AC48" s="20">
        <f t="shared" si="4"/>
        <v>1.3416355685682939</v>
      </c>
      <c r="AD48" s="20"/>
    </row>
    <row r="49" spans="1:30" x14ac:dyDescent="0.45">
      <c r="A49" s="8" t="s">
        <v>139</v>
      </c>
      <c r="B49" s="8" t="s">
        <v>637</v>
      </c>
      <c r="C49" s="8">
        <v>49.5</v>
      </c>
      <c r="D49" s="8" t="s">
        <v>1009</v>
      </c>
      <c r="E49" s="8" t="s">
        <v>1014</v>
      </c>
      <c r="F49" s="8" t="s">
        <v>1016</v>
      </c>
      <c r="G49" s="8" t="s">
        <v>1020</v>
      </c>
      <c r="H49" s="8">
        <v>85055.63</v>
      </c>
      <c r="I49" s="8">
        <v>497</v>
      </c>
      <c r="J49" s="8">
        <v>1</v>
      </c>
      <c r="K49" s="8">
        <v>0</v>
      </c>
      <c r="L49" s="8">
        <v>208.82</v>
      </c>
      <c r="M49" s="8">
        <v>91137.76</v>
      </c>
      <c r="N49" s="8">
        <v>46496.43</v>
      </c>
      <c r="O49" s="8" t="str">
        <f t="shared" si="5"/>
        <v>Fraud</v>
      </c>
      <c r="P49" s="8">
        <v>1</v>
      </c>
      <c r="Q49" s="8" t="s">
        <v>1025</v>
      </c>
      <c r="R49" s="8" t="s">
        <v>1029</v>
      </c>
      <c r="S49" s="8">
        <v>2215</v>
      </c>
      <c r="T49" s="8">
        <v>69</v>
      </c>
      <c r="U49" s="8">
        <v>1343.35</v>
      </c>
      <c r="V49" s="8">
        <v>0.5</v>
      </c>
      <c r="W49" s="8">
        <v>6.3</v>
      </c>
      <c r="X49" s="8">
        <v>116.59</v>
      </c>
      <c r="Y49" s="20" t="str">
        <f t="shared" si="0"/>
        <v>Normal</v>
      </c>
      <c r="Z49" s="20">
        <f t="shared" si="1"/>
        <v>-0.85684716536309635</v>
      </c>
      <c r="AA49" s="20">
        <f t="shared" si="2"/>
        <v>3.5556773342872741</v>
      </c>
      <c r="AB49" s="20">
        <f t="shared" si="3"/>
        <v>-0.71161326168923533</v>
      </c>
      <c r="AC49" s="20">
        <f t="shared" si="4"/>
        <v>-0.22887575123563264</v>
      </c>
      <c r="AD49" s="20"/>
    </row>
    <row r="50" spans="1:30" x14ac:dyDescent="0.45">
      <c r="A50" s="8" t="s">
        <v>258</v>
      </c>
      <c r="B50" s="8" t="s">
        <v>756</v>
      </c>
      <c r="C50" s="8">
        <v>59.5</v>
      </c>
      <c r="D50" s="8" t="s">
        <v>1010</v>
      </c>
      <c r="E50" s="8" t="s">
        <v>1014</v>
      </c>
      <c r="F50" s="8" t="s">
        <v>1019</v>
      </c>
      <c r="G50" s="8" t="s">
        <v>1020</v>
      </c>
      <c r="H50" s="8">
        <v>108016.78</v>
      </c>
      <c r="I50" s="8">
        <v>782</v>
      </c>
      <c r="J50" s="8">
        <v>1</v>
      </c>
      <c r="K50" s="8">
        <v>0</v>
      </c>
      <c r="L50" s="8">
        <v>209.03</v>
      </c>
      <c r="M50" s="8">
        <v>18173.66</v>
      </c>
      <c r="N50" s="8">
        <v>56179.44</v>
      </c>
      <c r="O50" s="8" t="str">
        <f t="shared" si="5"/>
        <v>Fraud</v>
      </c>
      <c r="P50" s="8">
        <v>1</v>
      </c>
      <c r="Q50" s="8" t="s">
        <v>1026</v>
      </c>
      <c r="R50" s="8" t="s">
        <v>1028</v>
      </c>
      <c r="S50" s="8">
        <v>691</v>
      </c>
      <c r="T50" s="8">
        <v>47</v>
      </c>
      <c r="U50" s="8">
        <v>2905.91</v>
      </c>
      <c r="V50" s="8">
        <v>5.6</v>
      </c>
      <c r="W50" s="8">
        <v>8.4</v>
      </c>
      <c r="X50" s="8">
        <v>108.03</v>
      </c>
      <c r="Y50" s="20" t="str">
        <f t="shared" si="0"/>
        <v>Normal</v>
      </c>
      <c r="Z50" s="20">
        <f t="shared" si="1"/>
        <v>-0.85674695268590229</v>
      </c>
      <c r="AA50" s="20">
        <f t="shared" si="2"/>
        <v>-8.5627859184287114E-2</v>
      </c>
      <c r="AB50" s="20">
        <f t="shared" si="3"/>
        <v>-0.20932741653230252</v>
      </c>
      <c r="AC50" s="20">
        <f t="shared" si="4"/>
        <v>0.73483784175468314</v>
      </c>
      <c r="AD50" s="20"/>
    </row>
    <row r="51" spans="1:30" x14ac:dyDescent="0.45">
      <c r="A51" s="8" t="s">
        <v>36</v>
      </c>
      <c r="B51" s="8" t="s">
        <v>536</v>
      </c>
      <c r="C51" s="8">
        <v>21.3</v>
      </c>
      <c r="D51" s="8" t="s">
        <v>1009</v>
      </c>
      <c r="E51" s="8" t="s">
        <v>1015</v>
      </c>
      <c r="F51" s="8" t="s">
        <v>1018</v>
      </c>
      <c r="G51" s="8" t="s">
        <v>1021</v>
      </c>
      <c r="H51" s="8">
        <v>106913.58</v>
      </c>
      <c r="I51" s="8">
        <v>788</v>
      </c>
      <c r="J51" s="8">
        <v>0</v>
      </c>
      <c r="K51" s="8">
        <v>0</v>
      </c>
      <c r="L51" s="8">
        <v>211.07</v>
      </c>
      <c r="M51" s="8">
        <v>56124.93</v>
      </c>
      <c r="N51" s="8">
        <v>91972.94</v>
      </c>
      <c r="O51" s="8" t="str">
        <f t="shared" si="5"/>
        <v>Not Fraud</v>
      </c>
      <c r="P51" s="8">
        <v>0</v>
      </c>
      <c r="Q51" s="8" t="s">
        <v>1025</v>
      </c>
      <c r="R51" s="8" t="s">
        <v>1030</v>
      </c>
      <c r="S51" s="8">
        <v>4744</v>
      </c>
      <c r="T51" s="8">
        <v>287</v>
      </c>
      <c r="U51" s="8">
        <v>5574.5</v>
      </c>
      <c r="V51" s="8">
        <v>6</v>
      </c>
      <c r="W51" s="8">
        <v>9.1</v>
      </c>
      <c r="X51" s="8">
        <v>0</v>
      </c>
      <c r="Y51" s="20" t="str">
        <f t="shared" si="0"/>
        <v>Normal</v>
      </c>
      <c r="Z51" s="20">
        <f t="shared" si="1"/>
        <v>-0.85577345810744643</v>
      </c>
      <c r="AA51" s="20">
        <f t="shared" si="2"/>
        <v>1.8083468016398916</v>
      </c>
      <c r="AB51" s="20">
        <f t="shared" si="3"/>
        <v>1.6473853616869361</v>
      </c>
      <c r="AC51" s="20">
        <f t="shared" si="4"/>
        <v>0.68853489805252044</v>
      </c>
      <c r="AD51" s="20"/>
    </row>
    <row r="52" spans="1:30" x14ac:dyDescent="0.45">
      <c r="A52" s="8" t="s">
        <v>264</v>
      </c>
      <c r="B52" s="8" t="s">
        <v>762</v>
      </c>
      <c r="C52" s="8">
        <v>48.3</v>
      </c>
      <c r="D52" s="8" t="s">
        <v>1010</v>
      </c>
      <c r="E52" s="8" t="s">
        <v>1013</v>
      </c>
      <c r="F52" s="8" t="s">
        <v>1016</v>
      </c>
      <c r="G52" s="8" t="s">
        <v>1021</v>
      </c>
      <c r="H52" s="8">
        <v>88026.06</v>
      </c>
      <c r="I52" s="8">
        <v>709</v>
      </c>
      <c r="J52" s="8">
        <v>0</v>
      </c>
      <c r="K52" s="8">
        <v>0</v>
      </c>
      <c r="L52" s="8">
        <v>213.31</v>
      </c>
      <c r="M52" s="8">
        <v>3988.18</v>
      </c>
      <c r="N52" s="8">
        <v>70942.38</v>
      </c>
      <c r="O52" s="8" t="str">
        <f t="shared" si="5"/>
        <v>Not Fraud</v>
      </c>
      <c r="P52" s="8">
        <v>0</v>
      </c>
      <c r="Q52" s="8" t="s">
        <v>1024</v>
      </c>
      <c r="R52" s="8" t="s">
        <v>1030</v>
      </c>
      <c r="S52" s="8">
        <v>3958</v>
      </c>
      <c r="T52" s="8">
        <v>107</v>
      </c>
      <c r="U52" s="8">
        <v>4306.25</v>
      </c>
      <c r="V52" s="8">
        <v>6.2</v>
      </c>
      <c r="W52" s="8">
        <v>0.5</v>
      </c>
      <c r="X52" s="8">
        <v>0</v>
      </c>
      <c r="Y52" s="20" t="str">
        <f t="shared" si="0"/>
        <v>Normal</v>
      </c>
      <c r="Z52" s="20">
        <f t="shared" si="1"/>
        <v>-0.85470452288404386</v>
      </c>
      <c r="AA52" s="20">
        <f t="shared" si="2"/>
        <v>-0.7935604177423583</v>
      </c>
      <c r="AB52" s="20">
        <f t="shared" si="3"/>
        <v>0.55646914826532645</v>
      </c>
      <c r="AC52" s="20">
        <f t="shared" si="4"/>
        <v>-0.10420238914243532</v>
      </c>
      <c r="AD52" s="20"/>
    </row>
    <row r="53" spans="1:30" x14ac:dyDescent="0.45">
      <c r="A53" s="8" t="s">
        <v>370</v>
      </c>
      <c r="B53" s="8" t="s">
        <v>865</v>
      </c>
      <c r="C53" s="8">
        <v>28.9</v>
      </c>
      <c r="D53" s="8" t="s">
        <v>1009</v>
      </c>
      <c r="E53" s="8" t="s">
        <v>1014</v>
      </c>
      <c r="F53" s="8" t="s">
        <v>1016</v>
      </c>
      <c r="G53" s="8" t="s">
        <v>1022</v>
      </c>
      <c r="H53" s="8">
        <v>131087.73000000001</v>
      </c>
      <c r="I53" s="8">
        <v>488</v>
      </c>
      <c r="J53" s="8">
        <v>0</v>
      </c>
      <c r="K53" s="8">
        <v>0</v>
      </c>
      <c r="L53" s="8">
        <v>215.91</v>
      </c>
      <c r="M53" s="8">
        <v>60892.88</v>
      </c>
      <c r="N53" s="8">
        <v>75812.509999999995</v>
      </c>
      <c r="O53" s="8" t="str">
        <f t="shared" si="5"/>
        <v>Not Fraud</v>
      </c>
      <c r="P53" s="8">
        <v>0</v>
      </c>
      <c r="Q53" s="8" t="s">
        <v>1025</v>
      </c>
      <c r="R53" s="8" t="s">
        <v>1026</v>
      </c>
      <c r="S53" s="8">
        <v>402</v>
      </c>
      <c r="T53" s="8">
        <v>191</v>
      </c>
      <c r="U53" s="8">
        <v>199.09</v>
      </c>
      <c r="V53" s="8">
        <v>6.1</v>
      </c>
      <c r="W53" s="8">
        <v>2.4</v>
      </c>
      <c r="X53" s="8">
        <v>0</v>
      </c>
      <c r="Y53" s="20" t="str">
        <f t="shared" si="0"/>
        <v>Normal</v>
      </c>
      <c r="Z53" s="20">
        <f t="shared" si="1"/>
        <v>-0.85346379449973719</v>
      </c>
      <c r="AA53" s="20">
        <f t="shared" si="2"/>
        <v>2.0462934232964698</v>
      </c>
      <c r="AB53" s="20">
        <f t="shared" si="3"/>
        <v>0.80909693271191152</v>
      </c>
      <c r="AC53" s="20">
        <f t="shared" si="4"/>
        <v>1.7031599039423324</v>
      </c>
      <c r="AD53" s="20"/>
    </row>
    <row r="54" spans="1:30" x14ac:dyDescent="0.45">
      <c r="A54" s="8" t="s">
        <v>281</v>
      </c>
      <c r="B54" s="8" t="s">
        <v>778</v>
      </c>
      <c r="C54" s="8">
        <v>56.7</v>
      </c>
      <c r="D54" s="8" t="s">
        <v>1010</v>
      </c>
      <c r="E54" s="8" t="s">
        <v>1012</v>
      </c>
      <c r="F54" s="8" t="s">
        <v>1018</v>
      </c>
      <c r="G54" s="8" t="s">
        <v>1022</v>
      </c>
      <c r="H54" s="8">
        <v>80752.320000000007</v>
      </c>
      <c r="I54" s="8">
        <v>642</v>
      </c>
      <c r="J54" s="8">
        <v>0</v>
      </c>
      <c r="K54" s="8">
        <v>0</v>
      </c>
      <c r="L54" s="8">
        <v>223.64</v>
      </c>
      <c r="M54" s="8">
        <v>279.18</v>
      </c>
      <c r="N54" s="8">
        <v>63466.83</v>
      </c>
      <c r="O54" s="8" t="str">
        <f t="shared" si="5"/>
        <v>Fraud</v>
      </c>
      <c r="P54" s="8">
        <v>1</v>
      </c>
      <c r="Q54" s="8" t="s">
        <v>1024</v>
      </c>
      <c r="R54" s="8" t="s">
        <v>1029</v>
      </c>
      <c r="S54" s="8">
        <v>1678</v>
      </c>
      <c r="T54" s="8">
        <v>257</v>
      </c>
      <c r="U54" s="8">
        <v>5646.31</v>
      </c>
      <c r="V54" s="8">
        <v>3.6</v>
      </c>
      <c r="W54" s="8">
        <v>6</v>
      </c>
      <c r="X54" s="8">
        <v>113.32</v>
      </c>
      <c r="Y54" s="20" t="str">
        <f t="shared" si="0"/>
        <v>Normal</v>
      </c>
      <c r="Z54" s="20">
        <f t="shared" si="1"/>
        <v>-0.8497750135725487</v>
      </c>
      <c r="AA54" s="20">
        <f t="shared" si="2"/>
        <v>-0.97865967837307966</v>
      </c>
      <c r="AB54" s="20">
        <f t="shared" si="3"/>
        <v>0.16869066308737973</v>
      </c>
      <c r="AC54" s="20">
        <f t="shared" si="4"/>
        <v>-0.40949206800770871</v>
      </c>
      <c r="AD54" s="20"/>
    </row>
    <row r="55" spans="1:30" x14ac:dyDescent="0.45">
      <c r="A55" s="8" t="s">
        <v>459</v>
      </c>
      <c r="B55" s="8" t="s">
        <v>949</v>
      </c>
      <c r="C55" s="8">
        <v>74.400000000000006</v>
      </c>
      <c r="D55" s="8" t="s">
        <v>1010</v>
      </c>
      <c r="E55" s="8" t="s">
        <v>1013</v>
      </c>
      <c r="F55" s="8" t="s">
        <v>1019</v>
      </c>
      <c r="G55" s="8" t="s">
        <v>1022</v>
      </c>
      <c r="H55" s="8">
        <v>94606.77</v>
      </c>
      <c r="I55" s="8">
        <v>666</v>
      </c>
      <c r="J55" s="8">
        <v>0</v>
      </c>
      <c r="K55" s="8">
        <v>0</v>
      </c>
      <c r="L55" s="8">
        <v>223.66</v>
      </c>
      <c r="M55" s="8">
        <v>4959.87</v>
      </c>
      <c r="N55" s="8">
        <v>68790.02</v>
      </c>
      <c r="O55" s="8" t="str">
        <f t="shared" si="5"/>
        <v>Fraud</v>
      </c>
      <c r="P55" s="8">
        <v>1</v>
      </c>
      <c r="Q55" s="8" t="s">
        <v>1026</v>
      </c>
      <c r="R55" s="8" t="s">
        <v>1030</v>
      </c>
      <c r="S55" s="8">
        <v>4490</v>
      </c>
      <c r="T55" s="8">
        <v>184</v>
      </c>
      <c r="U55" s="8">
        <v>4340.3</v>
      </c>
      <c r="V55" s="8">
        <v>6.1</v>
      </c>
      <c r="W55" s="8">
        <v>1.5</v>
      </c>
      <c r="X55" s="8">
        <v>161.94</v>
      </c>
      <c r="Y55" s="20" t="str">
        <f t="shared" si="0"/>
        <v>Normal</v>
      </c>
      <c r="Z55" s="20">
        <f t="shared" si="1"/>
        <v>-0.84976546950805409</v>
      </c>
      <c r="AA55" s="20">
        <f t="shared" si="2"/>
        <v>-0.74506780502672998</v>
      </c>
      <c r="AB55" s="20">
        <f t="shared" si="3"/>
        <v>0.44481998527964572</v>
      </c>
      <c r="AC55" s="20">
        <f t="shared" si="4"/>
        <v>0.17199979056229675</v>
      </c>
      <c r="AD55" s="20"/>
    </row>
    <row r="56" spans="1:30" x14ac:dyDescent="0.45">
      <c r="A56" s="8" t="s">
        <v>303</v>
      </c>
      <c r="B56" s="8" t="s">
        <v>799</v>
      </c>
      <c r="C56" s="8">
        <v>51.7</v>
      </c>
      <c r="D56" s="8" t="s">
        <v>1010</v>
      </c>
      <c r="E56" s="8" t="s">
        <v>1012</v>
      </c>
      <c r="F56" s="8" t="s">
        <v>1016</v>
      </c>
      <c r="G56" s="8" t="s">
        <v>1023</v>
      </c>
      <c r="H56" s="8">
        <v>128558.91</v>
      </c>
      <c r="I56" s="8">
        <v>558</v>
      </c>
      <c r="J56" s="8">
        <v>1</v>
      </c>
      <c r="K56" s="8">
        <v>1</v>
      </c>
      <c r="L56" s="8">
        <v>225.94</v>
      </c>
      <c r="M56" s="8">
        <v>2972.91</v>
      </c>
      <c r="N56" s="8">
        <v>91610.81</v>
      </c>
      <c r="O56" s="8" t="str">
        <f t="shared" si="5"/>
        <v>Not Fraud</v>
      </c>
      <c r="P56" s="8">
        <v>0</v>
      </c>
      <c r="Q56" s="8" t="s">
        <v>1026</v>
      </c>
      <c r="R56" s="8" t="s">
        <v>1029</v>
      </c>
      <c r="S56" s="8">
        <v>42</v>
      </c>
      <c r="T56" s="8">
        <v>23</v>
      </c>
      <c r="U56" s="8">
        <v>3102.5</v>
      </c>
      <c r="V56" s="8">
        <v>3</v>
      </c>
      <c r="W56" s="8">
        <v>7.8</v>
      </c>
      <c r="X56" s="8">
        <v>0</v>
      </c>
      <c r="Y56" s="20" t="str">
        <f t="shared" si="0"/>
        <v>Normal</v>
      </c>
      <c r="Z56" s="20">
        <f t="shared" si="1"/>
        <v>-0.8486774461556621</v>
      </c>
      <c r="AA56" s="20">
        <f t="shared" si="2"/>
        <v>-0.84422790934132097</v>
      </c>
      <c r="AB56" s="20">
        <f t="shared" si="3"/>
        <v>1.628600627073765</v>
      </c>
      <c r="AC56" s="20">
        <f t="shared" si="4"/>
        <v>1.5970215699204835</v>
      </c>
      <c r="AD56" s="20"/>
    </row>
    <row r="57" spans="1:30" x14ac:dyDescent="0.45">
      <c r="A57" s="8" t="s">
        <v>377</v>
      </c>
      <c r="B57" s="8" t="s">
        <v>872</v>
      </c>
      <c r="C57" s="8">
        <v>49.7</v>
      </c>
      <c r="D57" s="8" t="s">
        <v>1009</v>
      </c>
      <c r="E57" s="8" t="s">
        <v>1015</v>
      </c>
      <c r="F57" s="8" t="s">
        <v>1017</v>
      </c>
      <c r="G57" s="8" t="s">
        <v>1021</v>
      </c>
      <c r="H57" s="8">
        <v>105171.68</v>
      </c>
      <c r="I57" s="8">
        <v>665</v>
      </c>
      <c r="J57" s="8">
        <v>0</v>
      </c>
      <c r="K57" s="8">
        <v>0</v>
      </c>
      <c r="L57" s="8">
        <v>229.48</v>
      </c>
      <c r="M57" s="8">
        <v>39110.019999999997</v>
      </c>
      <c r="N57" s="8">
        <v>51859.27</v>
      </c>
      <c r="O57" s="8" t="str">
        <f t="shared" si="5"/>
        <v>Fraud</v>
      </c>
      <c r="P57" s="8">
        <v>1</v>
      </c>
      <c r="Q57" s="8" t="s">
        <v>1025</v>
      </c>
      <c r="R57" s="8" t="s">
        <v>1030</v>
      </c>
      <c r="S57" s="8">
        <v>2814</v>
      </c>
      <c r="T57" s="8">
        <v>113</v>
      </c>
      <c r="U57" s="8">
        <v>8049.21</v>
      </c>
      <c r="V57" s="8">
        <v>7.4</v>
      </c>
      <c r="W57" s="8">
        <v>4</v>
      </c>
      <c r="X57" s="8">
        <v>191.29</v>
      </c>
      <c r="Y57" s="20" t="str">
        <f t="shared" si="0"/>
        <v>Normal</v>
      </c>
      <c r="Z57" s="20">
        <f t="shared" si="1"/>
        <v>-0.84698814674010625</v>
      </c>
      <c r="AA57" s="20">
        <f t="shared" si="2"/>
        <v>0.95921030643949556</v>
      </c>
      <c r="AB57" s="20">
        <f t="shared" si="3"/>
        <v>-0.43342717886567084</v>
      </c>
      <c r="AC57" s="20">
        <f t="shared" si="4"/>
        <v>0.61542476604128227</v>
      </c>
      <c r="AD57" s="20"/>
    </row>
    <row r="58" spans="1:30" x14ac:dyDescent="0.45">
      <c r="A58" s="8" t="s">
        <v>155</v>
      </c>
      <c r="B58" s="8" t="s">
        <v>653</v>
      </c>
      <c r="C58" s="8">
        <v>34.1</v>
      </c>
      <c r="D58" s="8" t="s">
        <v>1010</v>
      </c>
      <c r="E58" s="8" t="s">
        <v>1014</v>
      </c>
      <c r="F58" s="8" t="s">
        <v>1019</v>
      </c>
      <c r="G58" s="8" t="s">
        <v>1023</v>
      </c>
      <c r="H58" s="8">
        <v>85998.1</v>
      </c>
      <c r="I58" s="8">
        <v>528</v>
      </c>
      <c r="J58" s="8">
        <v>1</v>
      </c>
      <c r="K58" s="8">
        <v>0</v>
      </c>
      <c r="L58" s="8">
        <v>231.9</v>
      </c>
      <c r="M58" s="8">
        <v>2072.2199999999998</v>
      </c>
      <c r="N58" s="8">
        <v>54709.7</v>
      </c>
      <c r="O58" s="8" t="str">
        <f t="shared" si="5"/>
        <v>Not Fraud</v>
      </c>
      <c r="P58" s="8">
        <v>0</v>
      </c>
      <c r="Q58" s="8" t="s">
        <v>1025</v>
      </c>
      <c r="R58" s="8" t="s">
        <v>1030</v>
      </c>
      <c r="S58" s="8">
        <v>1467</v>
      </c>
      <c r="T58" s="8">
        <v>43</v>
      </c>
      <c r="U58" s="8">
        <v>6030.67</v>
      </c>
      <c r="V58" s="8">
        <v>4.0999999999999996</v>
      </c>
      <c r="W58" s="8">
        <v>9.8000000000000007</v>
      </c>
      <c r="X58" s="8">
        <v>0</v>
      </c>
      <c r="Y58" s="20" t="str">
        <f t="shared" si="0"/>
        <v>Normal</v>
      </c>
      <c r="Z58" s="20">
        <f t="shared" si="1"/>
        <v>-0.84583331493625169</v>
      </c>
      <c r="AA58" s="20">
        <f t="shared" si="2"/>
        <v>-0.88917723612953459</v>
      </c>
      <c r="AB58" s="20">
        <f t="shared" si="3"/>
        <v>-0.28556709800128305</v>
      </c>
      <c r="AC58" s="20">
        <f t="shared" si="4"/>
        <v>-0.18931888452880027</v>
      </c>
      <c r="AD58" s="20"/>
    </row>
    <row r="59" spans="1:30" x14ac:dyDescent="0.45">
      <c r="A59" s="8" t="s">
        <v>356</v>
      </c>
      <c r="B59" s="8" t="s">
        <v>851</v>
      </c>
      <c r="C59" s="8">
        <v>39.799999999999997</v>
      </c>
      <c r="D59" s="8" t="s">
        <v>1009</v>
      </c>
      <c r="E59" s="8" t="s">
        <v>1014</v>
      </c>
      <c r="F59" s="8" t="s">
        <v>1019</v>
      </c>
      <c r="G59" s="8" t="s">
        <v>1021</v>
      </c>
      <c r="H59" s="8">
        <v>101955.82</v>
      </c>
      <c r="I59" s="8">
        <v>608</v>
      </c>
      <c r="J59" s="8">
        <v>1</v>
      </c>
      <c r="K59" s="8">
        <v>1</v>
      </c>
      <c r="L59" s="8">
        <v>241.28</v>
      </c>
      <c r="M59" s="8">
        <v>28933.71</v>
      </c>
      <c r="N59" s="8">
        <v>58677.35</v>
      </c>
      <c r="O59" s="8" t="str">
        <f t="shared" si="5"/>
        <v>Fraud</v>
      </c>
      <c r="P59" s="8">
        <v>1</v>
      </c>
      <c r="Q59" s="8" t="s">
        <v>1026</v>
      </c>
      <c r="R59" s="8" t="s">
        <v>1029</v>
      </c>
      <c r="S59" s="8">
        <v>4589</v>
      </c>
      <c r="T59" s="8">
        <v>138</v>
      </c>
      <c r="U59" s="8">
        <v>2448.1999999999998</v>
      </c>
      <c r="V59" s="8">
        <v>3</v>
      </c>
      <c r="W59" s="8">
        <v>3.3</v>
      </c>
      <c r="X59" s="8">
        <v>206.71</v>
      </c>
      <c r="Y59" s="20" t="str">
        <f t="shared" si="0"/>
        <v>Normal</v>
      </c>
      <c r="Z59" s="20">
        <f t="shared" si="1"/>
        <v>-0.84135714868825329</v>
      </c>
      <c r="AA59" s="20">
        <f t="shared" si="2"/>
        <v>0.45135712311541465</v>
      </c>
      <c r="AB59" s="20">
        <f t="shared" si="3"/>
        <v>-7.9753571676627291E-2</v>
      </c>
      <c r="AC59" s="20">
        <f t="shared" si="4"/>
        <v>0.48045034206191611</v>
      </c>
      <c r="AD59" s="20"/>
    </row>
    <row r="60" spans="1:30" x14ac:dyDescent="0.45">
      <c r="A60" s="8" t="s">
        <v>417</v>
      </c>
      <c r="B60" s="8" t="s">
        <v>907</v>
      </c>
      <c r="C60" s="8">
        <v>67.7</v>
      </c>
      <c r="D60" s="8" t="s">
        <v>1009</v>
      </c>
      <c r="E60" s="8" t="s">
        <v>1013</v>
      </c>
      <c r="F60" s="8" t="s">
        <v>1019</v>
      </c>
      <c r="G60" s="8" t="s">
        <v>1020</v>
      </c>
      <c r="H60" s="8">
        <v>102399.79</v>
      </c>
      <c r="I60" s="8">
        <v>656</v>
      </c>
      <c r="J60" s="8">
        <v>0</v>
      </c>
      <c r="K60" s="8">
        <v>1</v>
      </c>
      <c r="L60" s="8">
        <v>247.35</v>
      </c>
      <c r="M60" s="8">
        <v>56966.33</v>
      </c>
      <c r="N60" s="8">
        <v>73326.25</v>
      </c>
      <c r="O60" s="8" t="str">
        <f t="shared" si="5"/>
        <v>Not Fraud</v>
      </c>
      <c r="P60" s="8">
        <v>0</v>
      </c>
      <c r="Q60" s="8" t="s">
        <v>1026</v>
      </c>
      <c r="R60" s="8" t="s">
        <v>1026</v>
      </c>
      <c r="S60" s="8">
        <v>4674</v>
      </c>
      <c r="T60" s="8">
        <v>21</v>
      </c>
      <c r="U60" s="8">
        <v>2069.91</v>
      </c>
      <c r="V60" s="8">
        <v>5</v>
      </c>
      <c r="W60" s="8">
        <v>9.8000000000000007</v>
      </c>
      <c r="X60" s="8">
        <v>0</v>
      </c>
      <c r="Y60" s="20" t="str">
        <f t="shared" si="0"/>
        <v>Normal</v>
      </c>
      <c r="Z60" s="20">
        <f t="shared" si="1"/>
        <v>-0.83846052511412217</v>
      </c>
      <c r="AA60" s="20">
        <f t="shared" si="2"/>
        <v>1.8503372351515361</v>
      </c>
      <c r="AB60" s="20">
        <f t="shared" si="3"/>
        <v>0.68012740718422193</v>
      </c>
      <c r="AC60" s="20">
        <f t="shared" si="4"/>
        <v>0.49908442284096671</v>
      </c>
      <c r="AD60" s="20"/>
    </row>
    <row r="61" spans="1:30" x14ac:dyDescent="0.45">
      <c r="A61" s="8" t="s">
        <v>51</v>
      </c>
      <c r="B61" s="8" t="s">
        <v>551</v>
      </c>
      <c r="C61" s="8">
        <v>41</v>
      </c>
      <c r="D61" s="8" t="s">
        <v>1009</v>
      </c>
      <c r="E61" s="8" t="s">
        <v>1013</v>
      </c>
      <c r="F61" s="8" t="s">
        <v>1017</v>
      </c>
      <c r="G61" s="8" t="s">
        <v>1020</v>
      </c>
      <c r="H61" s="8">
        <v>85922.85</v>
      </c>
      <c r="I61" s="8">
        <v>592</v>
      </c>
      <c r="J61" s="8">
        <v>1</v>
      </c>
      <c r="K61" s="8">
        <v>0</v>
      </c>
      <c r="L61" s="8">
        <v>256.52999999999997</v>
      </c>
      <c r="M61" s="8">
        <v>25607.439999999999</v>
      </c>
      <c r="N61" s="8">
        <v>72761.02</v>
      </c>
      <c r="O61" s="8" t="str">
        <f t="shared" si="5"/>
        <v>Not Fraud</v>
      </c>
      <c r="P61" s="8">
        <v>0</v>
      </c>
      <c r="Q61" s="8" t="s">
        <v>1027</v>
      </c>
      <c r="R61" s="8" t="s">
        <v>1026</v>
      </c>
      <c r="S61" s="8">
        <v>4072</v>
      </c>
      <c r="T61" s="8">
        <v>47</v>
      </c>
      <c r="U61" s="8">
        <v>8120.97</v>
      </c>
      <c r="V61" s="8">
        <v>6.2</v>
      </c>
      <c r="W61" s="8">
        <v>3.3</v>
      </c>
      <c r="X61" s="8">
        <v>0</v>
      </c>
      <c r="Y61" s="20" t="str">
        <f t="shared" si="0"/>
        <v>Normal</v>
      </c>
      <c r="Z61" s="20">
        <f t="shared" si="1"/>
        <v>-0.83407979951107047</v>
      </c>
      <c r="AA61" s="20">
        <f t="shared" si="2"/>
        <v>0.28535816985088247</v>
      </c>
      <c r="AB61" s="20">
        <f t="shared" si="3"/>
        <v>0.65080728583166203</v>
      </c>
      <c r="AC61" s="20">
        <f t="shared" si="4"/>
        <v>-0.19247723887396684</v>
      </c>
      <c r="AD61" s="20"/>
    </row>
    <row r="62" spans="1:30" x14ac:dyDescent="0.45">
      <c r="A62" s="8" t="s">
        <v>495</v>
      </c>
      <c r="B62" s="8" t="s">
        <v>923</v>
      </c>
      <c r="C62" s="8">
        <v>27.3</v>
      </c>
      <c r="D62" s="8" t="s">
        <v>1009</v>
      </c>
      <c r="E62" s="8" t="s">
        <v>1013</v>
      </c>
      <c r="F62" s="8" t="s">
        <v>1019</v>
      </c>
      <c r="G62" s="8" t="s">
        <v>1023</v>
      </c>
      <c r="H62" s="8">
        <v>71845.67</v>
      </c>
      <c r="I62" s="8">
        <v>656</v>
      </c>
      <c r="J62" s="8">
        <v>0</v>
      </c>
      <c r="K62" s="8">
        <v>1</v>
      </c>
      <c r="L62" s="8">
        <v>256.76</v>
      </c>
      <c r="M62" s="8">
        <v>13203.23</v>
      </c>
      <c r="N62" s="8">
        <v>52614.46</v>
      </c>
      <c r="O62" s="8" t="str">
        <f t="shared" si="5"/>
        <v>Fraud</v>
      </c>
      <c r="P62" s="8">
        <v>1</v>
      </c>
      <c r="Q62" s="8" t="s">
        <v>1024</v>
      </c>
      <c r="R62" s="8" t="s">
        <v>1026</v>
      </c>
      <c r="S62" s="8">
        <v>2199</v>
      </c>
      <c r="T62" s="8">
        <v>95</v>
      </c>
      <c r="U62" s="8">
        <v>7484.85</v>
      </c>
      <c r="V62" s="8">
        <v>5.0999999999999996</v>
      </c>
      <c r="W62" s="8">
        <v>5.3</v>
      </c>
      <c r="X62" s="8">
        <v>206.52</v>
      </c>
      <c r="Y62" s="20" t="str">
        <f t="shared" si="0"/>
        <v>Normal</v>
      </c>
      <c r="Z62" s="20">
        <f t="shared" si="1"/>
        <v>-0.8339700427693818</v>
      </c>
      <c r="AA62" s="20">
        <f t="shared" si="2"/>
        <v>-0.33367933344062484</v>
      </c>
      <c r="AB62" s="20">
        <f t="shared" si="3"/>
        <v>-0.39425328072820476</v>
      </c>
      <c r="AC62" s="20">
        <f t="shared" si="4"/>
        <v>-0.78331740659080262</v>
      </c>
      <c r="AD62" s="20"/>
    </row>
    <row r="63" spans="1:30" x14ac:dyDescent="0.45">
      <c r="A63" s="8" t="s">
        <v>461</v>
      </c>
      <c r="B63" s="8" t="s">
        <v>951</v>
      </c>
      <c r="C63" s="8">
        <v>24.4</v>
      </c>
      <c r="D63" s="8" t="s">
        <v>1010</v>
      </c>
      <c r="E63" s="8" t="s">
        <v>1012</v>
      </c>
      <c r="F63" s="8" t="s">
        <v>1016</v>
      </c>
      <c r="G63" s="8" t="s">
        <v>1021</v>
      </c>
      <c r="H63" s="8">
        <v>98422</v>
      </c>
      <c r="I63" s="8">
        <v>526</v>
      </c>
      <c r="J63" s="8">
        <v>0</v>
      </c>
      <c r="K63" s="8">
        <v>0</v>
      </c>
      <c r="L63" s="8">
        <v>258.79000000000002</v>
      </c>
      <c r="M63" s="8">
        <v>49302.44</v>
      </c>
      <c r="N63" s="8">
        <v>69155.460000000006</v>
      </c>
      <c r="O63" s="8" t="str">
        <f t="shared" si="5"/>
        <v>Not Fraud</v>
      </c>
      <c r="P63" s="8">
        <v>0</v>
      </c>
      <c r="Q63" s="8" t="s">
        <v>1024</v>
      </c>
      <c r="R63" s="8" t="s">
        <v>1028</v>
      </c>
      <c r="S63" s="8">
        <v>4537</v>
      </c>
      <c r="T63" s="8">
        <v>33</v>
      </c>
      <c r="U63" s="8">
        <v>9381.16</v>
      </c>
      <c r="V63" s="8">
        <v>7</v>
      </c>
      <c r="W63" s="8">
        <v>7.4</v>
      </c>
      <c r="X63" s="8">
        <v>0</v>
      </c>
      <c r="Y63" s="20" t="str">
        <f t="shared" si="0"/>
        <v>Normal</v>
      </c>
      <c r="Z63" s="20">
        <f t="shared" si="1"/>
        <v>-0.83300132022317319</v>
      </c>
      <c r="AA63" s="20">
        <f t="shared" si="2"/>
        <v>1.4678674663310509</v>
      </c>
      <c r="AB63" s="20">
        <f t="shared" si="3"/>
        <v>0.46377641920402984</v>
      </c>
      <c r="AC63" s="20">
        <f t="shared" si="4"/>
        <v>0.33213066429398874</v>
      </c>
      <c r="AD63" s="20"/>
    </row>
    <row r="64" spans="1:30" x14ac:dyDescent="0.45">
      <c r="A64" s="8" t="s">
        <v>446</v>
      </c>
      <c r="B64" s="8" t="s">
        <v>936</v>
      </c>
      <c r="C64" s="8">
        <v>64.599999999999994</v>
      </c>
      <c r="D64" s="8" t="s">
        <v>1010</v>
      </c>
      <c r="E64" s="8" t="s">
        <v>1014</v>
      </c>
      <c r="F64" s="8" t="s">
        <v>1019</v>
      </c>
      <c r="G64" s="8" t="s">
        <v>1023</v>
      </c>
      <c r="H64" s="8">
        <v>73840.23</v>
      </c>
      <c r="I64" s="8">
        <v>679</v>
      </c>
      <c r="J64" s="8">
        <v>0</v>
      </c>
      <c r="K64" s="8">
        <v>1</v>
      </c>
      <c r="L64" s="8">
        <v>263.22000000000003</v>
      </c>
      <c r="M64" s="8">
        <v>12250.84</v>
      </c>
      <c r="N64" s="8">
        <v>56336.07</v>
      </c>
      <c r="O64" s="8" t="str">
        <f t="shared" si="5"/>
        <v>Not Fraud</v>
      </c>
      <c r="P64" s="8">
        <v>0</v>
      </c>
      <c r="Q64" s="8" t="s">
        <v>1024</v>
      </c>
      <c r="R64" s="8" t="s">
        <v>1030</v>
      </c>
      <c r="S64" s="8">
        <v>934</v>
      </c>
      <c r="T64" s="8">
        <v>110</v>
      </c>
      <c r="U64" s="8">
        <v>7112.77</v>
      </c>
      <c r="V64" s="8">
        <v>5.5</v>
      </c>
      <c r="W64" s="8">
        <v>1.2</v>
      </c>
      <c r="X64" s="8">
        <v>0</v>
      </c>
      <c r="Y64" s="20" t="str">
        <f t="shared" si="0"/>
        <v>Normal</v>
      </c>
      <c r="Z64" s="20">
        <f t="shared" si="1"/>
        <v>-0.83088730993760462</v>
      </c>
      <c r="AA64" s="20">
        <f t="shared" si="2"/>
        <v>-0.38120877124922359</v>
      </c>
      <c r="AB64" s="20">
        <f t="shared" si="3"/>
        <v>-0.20120256362737637</v>
      </c>
      <c r="AC64" s="20">
        <f t="shared" si="4"/>
        <v>-0.69960275884734191</v>
      </c>
      <c r="AD64" s="20"/>
    </row>
    <row r="65" spans="1:30" x14ac:dyDescent="0.45">
      <c r="A65" s="8" t="s">
        <v>339</v>
      </c>
      <c r="B65" s="8" t="s">
        <v>835</v>
      </c>
      <c r="C65" s="8">
        <v>60.2</v>
      </c>
      <c r="D65" s="8" t="s">
        <v>1010</v>
      </c>
      <c r="E65" s="8" t="s">
        <v>1014</v>
      </c>
      <c r="F65" s="8" t="s">
        <v>1019</v>
      </c>
      <c r="G65" s="8" t="s">
        <v>1021</v>
      </c>
      <c r="H65" s="8">
        <v>131889.09</v>
      </c>
      <c r="I65" s="8">
        <v>665</v>
      </c>
      <c r="J65" s="8">
        <v>0</v>
      </c>
      <c r="K65" s="8">
        <v>0</v>
      </c>
      <c r="L65" s="8">
        <v>270.81</v>
      </c>
      <c r="M65" s="8">
        <v>27828.46</v>
      </c>
      <c r="N65" s="8">
        <v>96086.96</v>
      </c>
      <c r="O65" s="8" t="str">
        <f t="shared" si="5"/>
        <v>Not Fraud</v>
      </c>
      <c r="P65" s="8">
        <v>0</v>
      </c>
      <c r="Q65" s="8" t="s">
        <v>1027</v>
      </c>
      <c r="R65" s="8" t="s">
        <v>1028</v>
      </c>
      <c r="S65" s="8">
        <v>1893</v>
      </c>
      <c r="T65" s="8">
        <v>147</v>
      </c>
      <c r="U65" s="8">
        <v>6481.74</v>
      </c>
      <c r="V65" s="8">
        <v>4</v>
      </c>
      <c r="W65" s="8">
        <v>5</v>
      </c>
      <c r="X65" s="8">
        <v>0</v>
      </c>
      <c r="Y65" s="20" t="str">
        <f t="shared" si="0"/>
        <v>Normal</v>
      </c>
      <c r="Z65" s="20">
        <f t="shared" si="1"/>
        <v>-0.82726533746187891</v>
      </c>
      <c r="AA65" s="20">
        <f t="shared" si="2"/>
        <v>0.39619914042139881</v>
      </c>
      <c r="AB65" s="20">
        <f t="shared" si="3"/>
        <v>1.8607915249246614</v>
      </c>
      <c r="AC65" s="20">
        <f t="shared" si="4"/>
        <v>1.7367941742153241</v>
      </c>
      <c r="AD65" s="20"/>
    </row>
    <row r="66" spans="1:30" x14ac:dyDescent="0.45">
      <c r="A66" s="8" t="s">
        <v>273</v>
      </c>
      <c r="B66" s="8" t="s">
        <v>770</v>
      </c>
      <c r="C66" s="8">
        <v>31.1</v>
      </c>
      <c r="D66" s="8" t="s">
        <v>1010</v>
      </c>
      <c r="E66" s="8" t="s">
        <v>1014</v>
      </c>
      <c r="F66" s="8" t="s">
        <v>1019</v>
      </c>
      <c r="G66" s="8" t="s">
        <v>1021</v>
      </c>
      <c r="H66" s="8">
        <v>108418.55</v>
      </c>
      <c r="I66" s="8">
        <v>653</v>
      </c>
      <c r="J66" s="8">
        <v>1</v>
      </c>
      <c r="K66" s="8">
        <v>1</v>
      </c>
      <c r="L66" s="8">
        <v>271.19</v>
      </c>
      <c r="M66" s="8">
        <v>1701.9</v>
      </c>
      <c r="N66" s="8">
        <v>52919.19</v>
      </c>
      <c r="O66" s="8" t="str">
        <f t="shared" si="5"/>
        <v>Not Fraud</v>
      </c>
      <c r="P66" s="8">
        <v>0</v>
      </c>
      <c r="Q66" s="8" t="s">
        <v>1024</v>
      </c>
      <c r="R66" s="8" t="s">
        <v>1026</v>
      </c>
      <c r="S66" s="8">
        <v>3883</v>
      </c>
      <c r="T66" s="8">
        <v>164</v>
      </c>
      <c r="U66" s="8">
        <v>164.32</v>
      </c>
      <c r="V66" s="8">
        <v>4.5</v>
      </c>
      <c r="W66" s="8">
        <v>6.8</v>
      </c>
      <c r="X66" s="8">
        <v>0</v>
      </c>
      <c r="Y66" s="20" t="str">
        <f t="shared" ref="Y66:Y129" si="6">IF(OR(L66&lt;$AF$10,L66&gt;$AF$11),"Outlier","Normal")</f>
        <v>Normal</v>
      </c>
      <c r="Z66" s="20">
        <f t="shared" ref="Z66:Z129" si="7">(L66-$AK$9)/$AM$9</f>
        <v>-0.82708400023648021</v>
      </c>
      <c r="AA66" s="20">
        <f t="shared" ref="AA66:AA129" si="8">(M66-$AK$6)/$AM$6</f>
        <v>-0.90765821703996019</v>
      </c>
      <c r="AB66" s="20">
        <f t="shared" ref="AB66:AB129" si="9">(N66-$AK$3)/$AM$3</f>
        <v>-0.37844605078682564</v>
      </c>
      <c r="AC66" s="20">
        <f t="shared" ref="AC66:AC129" si="10">(H66-$AK$4)/$AM$4</f>
        <v>0.75170072581126235</v>
      </c>
      <c r="AD66" s="20"/>
    </row>
    <row r="67" spans="1:30" x14ac:dyDescent="0.45">
      <c r="A67" s="8" t="s">
        <v>276</v>
      </c>
      <c r="B67" s="8" t="s">
        <v>773</v>
      </c>
      <c r="C67" s="8">
        <v>65.5</v>
      </c>
      <c r="D67" s="8" t="s">
        <v>1010</v>
      </c>
      <c r="E67" s="8" t="s">
        <v>1012</v>
      </c>
      <c r="F67" s="8" t="s">
        <v>1018</v>
      </c>
      <c r="G67" s="8" t="s">
        <v>1020</v>
      </c>
      <c r="H67" s="8">
        <v>135100.06</v>
      </c>
      <c r="I67" s="8">
        <v>568</v>
      </c>
      <c r="J67" s="8">
        <v>0</v>
      </c>
      <c r="K67" s="8">
        <v>1</v>
      </c>
      <c r="L67" s="8">
        <v>271.89</v>
      </c>
      <c r="M67" s="8">
        <v>14599.44</v>
      </c>
      <c r="N67" s="8">
        <v>90980.4</v>
      </c>
      <c r="O67" s="8" t="str">
        <f t="shared" ref="O67:O130" si="11">IF(P67=1, "Fraud", "Not Fraud")</f>
        <v>Fraud</v>
      </c>
      <c r="P67" s="8">
        <v>1</v>
      </c>
      <c r="Q67" s="8" t="s">
        <v>1027</v>
      </c>
      <c r="R67" s="8" t="s">
        <v>1030</v>
      </c>
      <c r="S67" s="8">
        <v>367</v>
      </c>
      <c r="T67" s="8">
        <v>183</v>
      </c>
      <c r="U67" s="8">
        <v>3892.44</v>
      </c>
      <c r="V67" s="8">
        <v>8</v>
      </c>
      <c r="W67" s="8">
        <v>1.4</v>
      </c>
      <c r="X67" s="8">
        <v>169.99</v>
      </c>
      <c r="Y67" s="20" t="str">
        <f t="shared" si="6"/>
        <v>Normal</v>
      </c>
      <c r="Z67" s="20">
        <f t="shared" si="7"/>
        <v>-0.82674995797916684</v>
      </c>
      <c r="AA67" s="20">
        <f t="shared" si="8"/>
        <v>-0.26400086520519223</v>
      </c>
      <c r="AB67" s="20">
        <f t="shared" si="9"/>
        <v>1.5958994298587066</v>
      </c>
      <c r="AC67" s="20">
        <f t="shared" si="10"/>
        <v>1.8715633576266131</v>
      </c>
      <c r="AD67" s="20"/>
    </row>
    <row r="68" spans="1:30" x14ac:dyDescent="0.45">
      <c r="A68" s="8" t="s">
        <v>262</v>
      </c>
      <c r="B68" s="8" t="s">
        <v>760</v>
      </c>
      <c r="C68" s="8">
        <v>62.8</v>
      </c>
      <c r="D68" s="8" t="s">
        <v>1009</v>
      </c>
      <c r="E68" s="8" t="s">
        <v>1012</v>
      </c>
      <c r="F68" s="8" t="s">
        <v>1019</v>
      </c>
      <c r="G68" s="8" t="s">
        <v>1023</v>
      </c>
      <c r="H68" s="8">
        <v>105899.07</v>
      </c>
      <c r="I68" s="8">
        <v>621</v>
      </c>
      <c r="J68" s="8">
        <v>0</v>
      </c>
      <c r="K68" s="8">
        <v>0</v>
      </c>
      <c r="L68" s="8">
        <v>276</v>
      </c>
      <c r="M68" s="8">
        <v>48846.48</v>
      </c>
      <c r="N68" s="8">
        <v>54742.18</v>
      </c>
      <c r="O68" s="8" t="str">
        <f t="shared" si="11"/>
        <v>Not Fraud</v>
      </c>
      <c r="P68" s="8">
        <v>0</v>
      </c>
      <c r="Q68" s="8" t="s">
        <v>1025</v>
      </c>
      <c r="R68" s="8" t="s">
        <v>1029</v>
      </c>
      <c r="S68" s="8">
        <v>3156</v>
      </c>
      <c r="T68" s="8">
        <v>123</v>
      </c>
      <c r="U68" s="8">
        <v>3752.75</v>
      </c>
      <c r="V68" s="8">
        <v>4.9000000000000004</v>
      </c>
      <c r="W68" s="8">
        <v>2.2999999999999998</v>
      </c>
      <c r="X68" s="8">
        <v>0</v>
      </c>
      <c r="Y68" s="20" t="str">
        <f t="shared" si="6"/>
        <v>Normal</v>
      </c>
      <c r="Z68" s="20">
        <f t="shared" si="7"/>
        <v>-0.82478865272551305</v>
      </c>
      <c r="AA68" s="20">
        <f t="shared" si="8"/>
        <v>1.4451125839160648</v>
      </c>
      <c r="AB68" s="20">
        <f t="shared" si="9"/>
        <v>-0.28388226608943962</v>
      </c>
      <c r="AC68" s="20">
        <f t="shared" si="10"/>
        <v>0.64595440547159133</v>
      </c>
      <c r="AD68" s="20"/>
    </row>
    <row r="69" spans="1:30" x14ac:dyDescent="0.45">
      <c r="A69" s="8" t="s">
        <v>137</v>
      </c>
      <c r="B69" s="8" t="s">
        <v>635</v>
      </c>
      <c r="C69" s="8">
        <v>47.1</v>
      </c>
      <c r="D69" s="8" t="s">
        <v>1010</v>
      </c>
      <c r="E69" s="8" t="s">
        <v>1013</v>
      </c>
      <c r="F69" s="8" t="s">
        <v>1018</v>
      </c>
      <c r="G69" s="8" t="s">
        <v>1020</v>
      </c>
      <c r="H69" s="8">
        <v>98594.240000000005</v>
      </c>
      <c r="I69" s="8">
        <v>677</v>
      </c>
      <c r="J69" s="8">
        <v>0</v>
      </c>
      <c r="K69" s="8">
        <v>1</v>
      </c>
      <c r="L69" s="8">
        <v>277.10000000000002</v>
      </c>
      <c r="M69" s="8">
        <v>5643.21</v>
      </c>
      <c r="N69" s="8">
        <v>56738.66</v>
      </c>
      <c r="O69" s="8" t="str">
        <f t="shared" si="11"/>
        <v>Not Fraud</v>
      </c>
      <c r="P69" s="8">
        <v>0</v>
      </c>
      <c r="Q69" s="8" t="s">
        <v>1026</v>
      </c>
      <c r="R69" s="8" t="s">
        <v>1026</v>
      </c>
      <c r="S69" s="8">
        <v>1920</v>
      </c>
      <c r="T69" s="8">
        <v>65</v>
      </c>
      <c r="U69" s="8">
        <v>1633.53</v>
      </c>
      <c r="V69" s="8">
        <v>5.4</v>
      </c>
      <c r="W69" s="8">
        <v>3.2</v>
      </c>
      <c r="X69" s="8">
        <v>0</v>
      </c>
      <c r="Y69" s="20" t="str">
        <f t="shared" si="6"/>
        <v>Normal</v>
      </c>
      <c r="Z69" s="20">
        <f t="shared" si="7"/>
        <v>-0.82426372917830637</v>
      </c>
      <c r="AA69" s="20">
        <f t="shared" si="8"/>
        <v>-0.71096542466560908</v>
      </c>
      <c r="AB69" s="20">
        <f t="shared" si="9"/>
        <v>-0.18031905133091777</v>
      </c>
      <c r="AC69" s="20">
        <f t="shared" si="10"/>
        <v>0.33935983309679946</v>
      </c>
      <c r="AD69" s="20"/>
    </row>
    <row r="70" spans="1:30" x14ac:dyDescent="0.45">
      <c r="A70" s="8" t="s">
        <v>251</v>
      </c>
      <c r="B70" s="8" t="s">
        <v>749</v>
      </c>
      <c r="C70" s="8">
        <v>39.299999999999997</v>
      </c>
      <c r="D70" s="8" t="s">
        <v>1009</v>
      </c>
      <c r="E70" s="8" t="s">
        <v>1013</v>
      </c>
      <c r="F70" s="8" t="s">
        <v>1019</v>
      </c>
      <c r="G70" s="8" t="s">
        <v>1022</v>
      </c>
      <c r="H70" s="8">
        <v>87796.01</v>
      </c>
      <c r="I70" s="8">
        <v>626</v>
      </c>
      <c r="J70" s="8">
        <v>0</v>
      </c>
      <c r="K70" s="8">
        <v>1</v>
      </c>
      <c r="L70" s="8">
        <v>284.20999999999998</v>
      </c>
      <c r="M70" s="8">
        <v>14736.84</v>
      </c>
      <c r="N70" s="8">
        <v>60818.38</v>
      </c>
      <c r="O70" s="8" t="str">
        <f t="shared" si="11"/>
        <v>Fraud</v>
      </c>
      <c r="P70" s="8">
        <v>1</v>
      </c>
      <c r="Q70" s="8" t="s">
        <v>1024</v>
      </c>
      <c r="R70" s="8" t="s">
        <v>1026</v>
      </c>
      <c r="S70" s="8">
        <v>1640</v>
      </c>
      <c r="T70" s="8">
        <v>289</v>
      </c>
      <c r="U70" s="8">
        <v>5127.88</v>
      </c>
      <c r="V70" s="8">
        <v>5.0999999999999996</v>
      </c>
      <c r="W70" s="8">
        <v>4</v>
      </c>
      <c r="X70" s="8">
        <v>203.81</v>
      </c>
      <c r="Y70" s="20" t="str">
        <f t="shared" si="6"/>
        <v>Normal</v>
      </c>
      <c r="Z70" s="20">
        <f t="shared" si="7"/>
        <v>-0.82087081425045261</v>
      </c>
      <c r="AA70" s="20">
        <f t="shared" si="8"/>
        <v>-0.25714385835411074</v>
      </c>
      <c r="AB70" s="20">
        <f t="shared" si="9"/>
        <v>3.1307871310248384E-2</v>
      </c>
      <c r="AC70" s="20">
        <f t="shared" si="10"/>
        <v>-0.11385792956908752</v>
      </c>
      <c r="AD70" s="20"/>
    </row>
    <row r="71" spans="1:30" x14ac:dyDescent="0.45">
      <c r="A71" s="8" t="s">
        <v>423</v>
      </c>
      <c r="B71" s="8" t="s">
        <v>913</v>
      </c>
      <c r="C71" s="8">
        <v>26.1</v>
      </c>
      <c r="D71" s="8" t="s">
        <v>1010</v>
      </c>
      <c r="E71" s="8" t="s">
        <v>1013</v>
      </c>
      <c r="F71" s="8" t="s">
        <v>1016</v>
      </c>
      <c r="G71" s="8" t="s">
        <v>1023</v>
      </c>
      <c r="H71" s="8">
        <v>73403.87</v>
      </c>
      <c r="I71" s="8">
        <v>525</v>
      </c>
      <c r="J71" s="8">
        <v>1</v>
      </c>
      <c r="K71" s="8">
        <v>0</v>
      </c>
      <c r="L71" s="8">
        <v>291.5</v>
      </c>
      <c r="M71" s="8">
        <v>15716.54</v>
      </c>
      <c r="N71" s="8">
        <v>50711.91</v>
      </c>
      <c r="O71" s="8" t="str">
        <f t="shared" si="11"/>
        <v>Fraud</v>
      </c>
      <c r="P71" s="8">
        <v>1</v>
      </c>
      <c r="Q71" s="8" t="s">
        <v>1027</v>
      </c>
      <c r="R71" s="8" t="s">
        <v>1028</v>
      </c>
      <c r="S71" s="8">
        <v>1804</v>
      </c>
      <c r="T71" s="8">
        <v>72</v>
      </c>
      <c r="U71" s="8">
        <v>2143.54</v>
      </c>
      <c r="V71" s="8">
        <v>9.9</v>
      </c>
      <c r="W71" s="8">
        <v>3</v>
      </c>
      <c r="X71" s="8">
        <v>188.03</v>
      </c>
      <c r="Y71" s="20" t="str">
        <f t="shared" si="6"/>
        <v>Normal</v>
      </c>
      <c r="Z71" s="20">
        <f t="shared" si="7"/>
        <v>-0.81739200274214685</v>
      </c>
      <c r="AA71" s="20">
        <f t="shared" si="8"/>
        <v>-0.20825150309934726</v>
      </c>
      <c r="AB71" s="20">
        <f t="shared" si="9"/>
        <v>-0.49294407364314757</v>
      </c>
      <c r="AC71" s="20">
        <f t="shared" si="10"/>
        <v>-0.71791743661553975</v>
      </c>
      <c r="AD71" s="20"/>
    </row>
    <row r="72" spans="1:30" x14ac:dyDescent="0.45">
      <c r="A72" s="8" t="s">
        <v>31</v>
      </c>
      <c r="B72" s="8" t="s">
        <v>531</v>
      </c>
      <c r="C72" s="8">
        <v>43</v>
      </c>
      <c r="D72" s="8" t="s">
        <v>1010</v>
      </c>
      <c r="E72" s="8" t="s">
        <v>1013</v>
      </c>
      <c r="F72" s="8" t="s">
        <v>1019</v>
      </c>
      <c r="G72" s="8" t="s">
        <v>1021</v>
      </c>
      <c r="H72" s="8">
        <v>58824.34</v>
      </c>
      <c r="I72" s="8">
        <v>711</v>
      </c>
      <c r="J72" s="8">
        <v>0</v>
      </c>
      <c r="K72" s="8">
        <v>0</v>
      </c>
      <c r="L72" s="8">
        <v>291.77999999999997</v>
      </c>
      <c r="M72" s="8">
        <v>3097.31</v>
      </c>
      <c r="N72" s="8">
        <v>51272.28</v>
      </c>
      <c r="O72" s="8" t="str">
        <f t="shared" si="11"/>
        <v>Fraud</v>
      </c>
      <c r="P72" s="8">
        <v>1</v>
      </c>
      <c r="Q72" s="8" t="s">
        <v>1027</v>
      </c>
      <c r="R72" s="8" t="s">
        <v>1030</v>
      </c>
      <c r="S72" s="8">
        <v>4717</v>
      </c>
      <c r="T72" s="8">
        <v>286</v>
      </c>
      <c r="U72" s="8">
        <v>8380.35</v>
      </c>
      <c r="V72" s="8">
        <v>5.9</v>
      </c>
      <c r="W72" s="8">
        <v>2.7</v>
      </c>
      <c r="X72" s="8">
        <v>157.96</v>
      </c>
      <c r="Y72" s="20" t="str">
        <f t="shared" si="6"/>
        <v>Normal</v>
      </c>
      <c r="Z72" s="20">
        <f t="shared" si="7"/>
        <v>-0.8172583858392215</v>
      </c>
      <c r="AA72" s="20">
        <f t="shared" si="8"/>
        <v>-0.83801967315300552</v>
      </c>
      <c r="AB72" s="20">
        <f t="shared" si="9"/>
        <v>-0.4638760546025199</v>
      </c>
      <c r="AC72" s="20">
        <f t="shared" si="10"/>
        <v>-1.3298419804824673</v>
      </c>
      <c r="AD72" s="20"/>
    </row>
    <row r="73" spans="1:30" x14ac:dyDescent="0.45">
      <c r="A73" s="8" t="s">
        <v>393</v>
      </c>
      <c r="B73" s="8" t="s">
        <v>887</v>
      </c>
      <c r="C73" s="8">
        <v>50.4</v>
      </c>
      <c r="D73" s="8" t="s">
        <v>1010</v>
      </c>
      <c r="E73" s="8" t="s">
        <v>1013</v>
      </c>
      <c r="F73" s="8" t="s">
        <v>1019</v>
      </c>
      <c r="G73" s="8" t="s">
        <v>1020</v>
      </c>
      <c r="H73" s="8">
        <v>63842.92</v>
      </c>
      <c r="I73" s="8">
        <v>679</v>
      </c>
      <c r="J73" s="8">
        <v>0</v>
      </c>
      <c r="K73" s="8">
        <v>1</v>
      </c>
      <c r="L73" s="8">
        <v>292.5</v>
      </c>
      <c r="M73" s="8">
        <v>4194.57</v>
      </c>
      <c r="N73" s="8">
        <v>34952.129999999997</v>
      </c>
      <c r="O73" s="8" t="str">
        <f t="shared" si="11"/>
        <v>Fraud</v>
      </c>
      <c r="P73" s="8">
        <v>1</v>
      </c>
      <c r="Q73" s="8" t="s">
        <v>1027</v>
      </c>
      <c r="R73" s="8" t="s">
        <v>1030</v>
      </c>
      <c r="S73" s="8">
        <v>2855</v>
      </c>
      <c r="T73" s="8">
        <v>173</v>
      </c>
      <c r="U73" s="8">
        <v>6277.69</v>
      </c>
      <c r="V73" s="8">
        <v>4.2</v>
      </c>
      <c r="W73" s="8">
        <v>0.5</v>
      </c>
      <c r="X73" s="8">
        <v>254.25</v>
      </c>
      <c r="Y73" s="20" t="str">
        <f t="shared" si="6"/>
        <v>Normal</v>
      </c>
      <c r="Z73" s="20">
        <f t="shared" si="7"/>
        <v>-0.81691479951741353</v>
      </c>
      <c r="AA73" s="20">
        <f t="shared" si="8"/>
        <v>-0.78326043488941288</v>
      </c>
      <c r="AB73" s="20">
        <f t="shared" si="9"/>
        <v>-1.310449623754872</v>
      </c>
      <c r="AC73" s="20">
        <f t="shared" si="10"/>
        <v>-1.1192047186942142</v>
      </c>
      <c r="AD73" s="20"/>
    </row>
    <row r="74" spans="1:30" x14ac:dyDescent="0.45">
      <c r="A74" s="8" t="s">
        <v>404</v>
      </c>
      <c r="B74" s="8" t="s">
        <v>896</v>
      </c>
      <c r="C74" s="8">
        <v>41</v>
      </c>
      <c r="D74" s="8" t="s">
        <v>1010</v>
      </c>
      <c r="E74" s="8" t="s">
        <v>1014</v>
      </c>
      <c r="F74" s="8" t="s">
        <v>1019</v>
      </c>
      <c r="G74" s="8" t="s">
        <v>1022</v>
      </c>
      <c r="H74" s="8">
        <v>126155.31</v>
      </c>
      <c r="I74" s="8">
        <v>805</v>
      </c>
      <c r="J74" s="8">
        <v>1</v>
      </c>
      <c r="K74" s="8">
        <v>1</v>
      </c>
      <c r="L74" s="8">
        <v>306.73</v>
      </c>
      <c r="M74" s="8">
        <v>23882.04</v>
      </c>
      <c r="N74" s="8">
        <v>83850.149999999994</v>
      </c>
      <c r="O74" s="8" t="str">
        <f t="shared" si="11"/>
        <v>Fraud</v>
      </c>
      <c r="P74" s="8">
        <v>1</v>
      </c>
      <c r="Q74" s="8" t="s">
        <v>1026</v>
      </c>
      <c r="R74" s="8" t="s">
        <v>1029</v>
      </c>
      <c r="S74" s="8">
        <v>1106</v>
      </c>
      <c r="T74" s="8">
        <v>115</v>
      </c>
      <c r="U74" s="8">
        <v>8212.57</v>
      </c>
      <c r="V74" s="8">
        <v>10</v>
      </c>
      <c r="W74" s="8">
        <v>6.8</v>
      </c>
      <c r="X74" s="8">
        <v>199</v>
      </c>
      <c r="Y74" s="20" t="str">
        <f t="shared" si="6"/>
        <v>Normal</v>
      </c>
      <c r="Z74" s="20">
        <f t="shared" si="7"/>
        <v>-0.81012419762945864</v>
      </c>
      <c r="AA74" s="20">
        <f t="shared" si="8"/>
        <v>0.199251331271145</v>
      </c>
      <c r="AB74" s="20">
        <f t="shared" si="9"/>
        <v>1.2260326583248322</v>
      </c>
      <c r="AC74" s="20">
        <f t="shared" si="10"/>
        <v>1.496138905414937</v>
      </c>
      <c r="AD74" s="20"/>
    </row>
    <row r="75" spans="1:30" x14ac:dyDescent="0.45">
      <c r="A75" s="8" t="s">
        <v>219</v>
      </c>
      <c r="B75" s="8" t="s">
        <v>717</v>
      </c>
      <c r="C75" s="8">
        <v>36.700000000000003</v>
      </c>
      <c r="D75" s="8" t="s">
        <v>1010</v>
      </c>
      <c r="E75" s="8" t="s">
        <v>1014</v>
      </c>
      <c r="F75" s="8" t="s">
        <v>1017</v>
      </c>
      <c r="G75" s="8" t="s">
        <v>1022</v>
      </c>
      <c r="H75" s="8">
        <v>95592.14</v>
      </c>
      <c r="I75" s="8">
        <v>746</v>
      </c>
      <c r="J75" s="8">
        <v>0</v>
      </c>
      <c r="K75" s="8">
        <v>1</v>
      </c>
      <c r="L75" s="8">
        <v>308.77999999999997</v>
      </c>
      <c r="M75" s="8">
        <v>4717.16</v>
      </c>
      <c r="N75" s="8">
        <v>60010.559999999998</v>
      </c>
      <c r="O75" s="8" t="str">
        <f t="shared" si="11"/>
        <v>Fraud</v>
      </c>
      <c r="P75" s="8">
        <v>1</v>
      </c>
      <c r="Q75" s="8" t="s">
        <v>1027</v>
      </c>
      <c r="R75" s="8" t="s">
        <v>1026</v>
      </c>
      <c r="S75" s="8">
        <v>4749</v>
      </c>
      <c r="T75" s="8">
        <v>81</v>
      </c>
      <c r="U75" s="8">
        <v>5414.45</v>
      </c>
      <c r="V75" s="8">
        <v>1.1000000000000001</v>
      </c>
      <c r="W75" s="8">
        <v>4.5</v>
      </c>
      <c r="X75" s="8">
        <v>176.85</v>
      </c>
      <c r="Y75" s="20" t="str">
        <f t="shared" si="6"/>
        <v>Normal</v>
      </c>
      <c r="Z75" s="20">
        <f t="shared" si="7"/>
        <v>-0.80914593101875543</v>
      </c>
      <c r="AA75" s="20">
        <f t="shared" si="8"/>
        <v>-0.75718035330057254</v>
      </c>
      <c r="AB75" s="20">
        <f t="shared" si="9"/>
        <v>-1.059609774840933E-2</v>
      </c>
      <c r="AC75" s="20">
        <f t="shared" si="10"/>
        <v>0.21335723403202117</v>
      </c>
      <c r="AD75" s="20"/>
    </row>
    <row r="76" spans="1:30" x14ac:dyDescent="0.45">
      <c r="A76" s="8" t="s">
        <v>91</v>
      </c>
      <c r="B76" s="8" t="s">
        <v>591</v>
      </c>
      <c r="C76" s="8">
        <v>55.4</v>
      </c>
      <c r="D76" s="8" t="s">
        <v>1010</v>
      </c>
      <c r="E76" s="8" t="s">
        <v>1014</v>
      </c>
      <c r="F76" s="8" t="s">
        <v>1016</v>
      </c>
      <c r="G76" s="8" t="s">
        <v>1020</v>
      </c>
      <c r="H76" s="8">
        <v>70877.679999999993</v>
      </c>
      <c r="I76" s="8">
        <v>687</v>
      </c>
      <c r="J76" s="8">
        <v>0</v>
      </c>
      <c r="K76" s="8">
        <v>0</v>
      </c>
      <c r="L76" s="8">
        <v>310.68</v>
      </c>
      <c r="M76" s="8">
        <v>4981.7299999999996</v>
      </c>
      <c r="N76" s="8">
        <v>41885.35</v>
      </c>
      <c r="O76" s="8" t="str">
        <f t="shared" si="11"/>
        <v>Fraud</v>
      </c>
      <c r="P76" s="8">
        <v>1</v>
      </c>
      <c r="Q76" s="8" t="s">
        <v>1024</v>
      </c>
      <c r="R76" s="8" t="s">
        <v>1029</v>
      </c>
      <c r="S76" s="8">
        <v>3772</v>
      </c>
      <c r="T76" s="8">
        <v>4</v>
      </c>
      <c r="U76" s="8">
        <v>5828.13</v>
      </c>
      <c r="V76" s="8">
        <v>2</v>
      </c>
      <c r="W76" s="8">
        <v>0.5</v>
      </c>
      <c r="X76" s="8">
        <v>222.99</v>
      </c>
      <c r="Y76" s="20" t="str">
        <f t="shared" si="6"/>
        <v>Normal</v>
      </c>
      <c r="Z76" s="20">
        <f t="shared" si="7"/>
        <v>-0.80823924489176202</v>
      </c>
      <c r="AA76" s="20">
        <f t="shared" si="8"/>
        <v>-0.74397687220457098</v>
      </c>
      <c r="AB76" s="20">
        <f t="shared" si="9"/>
        <v>-0.95080337043498997</v>
      </c>
      <c r="AC76" s="20">
        <f t="shared" si="10"/>
        <v>-0.82394538562838138</v>
      </c>
      <c r="AD76" s="20"/>
    </row>
    <row r="77" spans="1:30" x14ac:dyDescent="0.45">
      <c r="A77" s="8" t="s">
        <v>76</v>
      </c>
      <c r="B77" s="8" t="s">
        <v>576</v>
      </c>
      <c r="C77" s="8">
        <v>59.2</v>
      </c>
      <c r="D77" s="8" t="s">
        <v>1009</v>
      </c>
      <c r="E77" s="8" t="s">
        <v>1014</v>
      </c>
      <c r="F77" s="8" t="s">
        <v>1019</v>
      </c>
      <c r="G77" s="8" t="s">
        <v>1023</v>
      </c>
      <c r="H77" s="8">
        <v>111744.57</v>
      </c>
      <c r="I77" s="8">
        <v>632</v>
      </c>
      <c r="J77" s="8">
        <v>1</v>
      </c>
      <c r="K77" s="8">
        <v>1</v>
      </c>
      <c r="L77" s="8">
        <v>311.7</v>
      </c>
      <c r="M77" s="8">
        <v>991.43</v>
      </c>
      <c r="N77" s="8">
        <v>69353.86</v>
      </c>
      <c r="O77" s="8" t="str">
        <f t="shared" si="11"/>
        <v>Not Fraud</v>
      </c>
      <c r="P77" s="8">
        <v>0</v>
      </c>
      <c r="Q77" s="8" t="s">
        <v>1024</v>
      </c>
      <c r="R77" s="8" t="s">
        <v>1026</v>
      </c>
      <c r="S77" s="8">
        <v>3407</v>
      </c>
      <c r="T77" s="8">
        <v>217</v>
      </c>
      <c r="U77" s="8">
        <v>2676.32</v>
      </c>
      <c r="V77" s="8">
        <v>7</v>
      </c>
      <c r="W77" s="8">
        <v>6.4</v>
      </c>
      <c r="X77" s="8">
        <v>0</v>
      </c>
      <c r="Y77" s="20" t="str">
        <f t="shared" si="6"/>
        <v>Normal</v>
      </c>
      <c r="Z77" s="20">
        <f t="shared" si="7"/>
        <v>-0.80775249760253409</v>
      </c>
      <c r="AA77" s="20">
        <f t="shared" si="8"/>
        <v>-0.94311453186883831</v>
      </c>
      <c r="AB77" s="20">
        <f t="shared" si="9"/>
        <v>0.4740680032960769</v>
      </c>
      <c r="AC77" s="20">
        <f t="shared" si="10"/>
        <v>0.89129872872303528</v>
      </c>
      <c r="AD77" s="20"/>
    </row>
    <row r="78" spans="1:30" x14ac:dyDescent="0.45">
      <c r="A78" s="8" t="s">
        <v>424</v>
      </c>
      <c r="B78" s="8" t="s">
        <v>914</v>
      </c>
      <c r="C78" s="8">
        <v>41</v>
      </c>
      <c r="D78" s="8" t="s">
        <v>1009</v>
      </c>
      <c r="E78" s="8" t="s">
        <v>1011</v>
      </c>
      <c r="F78" s="8" t="s">
        <v>1016</v>
      </c>
      <c r="G78" s="8" t="s">
        <v>1021</v>
      </c>
      <c r="H78" s="8">
        <v>93962.4</v>
      </c>
      <c r="I78" s="8">
        <v>770</v>
      </c>
      <c r="J78" s="8">
        <v>0</v>
      </c>
      <c r="K78" s="8">
        <v>1</v>
      </c>
      <c r="L78" s="8">
        <v>314.77999999999997</v>
      </c>
      <c r="M78" s="8">
        <v>74410.559999999998</v>
      </c>
      <c r="N78" s="8">
        <v>69241.22</v>
      </c>
      <c r="O78" s="8" t="str">
        <f t="shared" si="11"/>
        <v>Not Fraud</v>
      </c>
      <c r="P78" s="8">
        <v>0</v>
      </c>
      <c r="Q78" s="8" t="s">
        <v>1026</v>
      </c>
      <c r="R78" s="8" t="s">
        <v>1026</v>
      </c>
      <c r="S78" s="8">
        <v>3844</v>
      </c>
      <c r="T78" s="8">
        <v>298</v>
      </c>
      <c r="U78" s="8">
        <v>116.62</v>
      </c>
      <c r="V78" s="8">
        <v>5.6</v>
      </c>
      <c r="W78" s="8">
        <v>1.9</v>
      </c>
      <c r="X78" s="8">
        <v>0</v>
      </c>
      <c r="Y78" s="20" t="str">
        <f t="shared" si="6"/>
        <v>Normal</v>
      </c>
      <c r="Z78" s="20">
        <f t="shared" si="7"/>
        <v>-0.80628271167035559</v>
      </c>
      <c r="AA78" s="20">
        <f t="shared" si="8"/>
        <v>2.7208991319626032</v>
      </c>
      <c r="AB78" s="20">
        <f t="shared" si="9"/>
        <v>0.46822503942446297</v>
      </c>
      <c r="AC78" s="20">
        <f t="shared" si="10"/>
        <v>0.1449546239258182</v>
      </c>
      <c r="AD78" s="20"/>
    </row>
    <row r="79" spans="1:30" x14ac:dyDescent="0.45">
      <c r="A79" s="8" t="s">
        <v>185</v>
      </c>
      <c r="B79" s="8" t="s">
        <v>683</v>
      </c>
      <c r="C79" s="8">
        <v>67.400000000000006</v>
      </c>
      <c r="D79" s="8" t="s">
        <v>1009</v>
      </c>
      <c r="E79" s="8" t="s">
        <v>1012</v>
      </c>
      <c r="F79" s="8" t="s">
        <v>1019</v>
      </c>
      <c r="G79" s="8" t="s">
        <v>1022</v>
      </c>
      <c r="H79" s="8">
        <v>69339.88</v>
      </c>
      <c r="I79" s="8">
        <v>743</v>
      </c>
      <c r="J79" s="8">
        <v>0</v>
      </c>
      <c r="K79" s="8">
        <v>0</v>
      </c>
      <c r="L79" s="8">
        <v>317.07</v>
      </c>
      <c r="M79" s="8">
        <v>10894.92</v>
      </c>
      <c r="N79" s="8">
        <v>60004.14</v>
      </c>
      <c r="O79" s="8" t="str">
        <f t="shared" si="11"/>
        <v>Fraud</v>
      </c>
      <c r="P79" s="8">
        <v>1</v>
      </c>
      <c r="Q79" s="8" t="s">
        <v>1026</v>
      </c>
      <c r="R79" s="8" t="s">
        <v>1028</v>
      </c>
      <c r="S79" s="8">
        <v>465</v>
      </c>
      <c r="T79" s="8">
        <v>74</v>
      </c>
      <c r="U79" s="8">
        <v>5007.9799999999996</v>
      </c>
      <c r="V79" s="8">
        <v>5.6</v>
      </c>
      <c r="W79" s="8">
        <v>5.5</v>
      </c>
      <c r="X79" s="8">
        <v>213.71</v>
      </c>
      <c r="Y79" s="20" t="str">
        <f t="shared" si="6"/>
        <v>Normal</v>
      </c>
      <c r="Z79" s="20">
        <f t="shared" si="7"/>
        <v>-0.80518991628571635</v>
      </c>
      <c r="AA79" s="20">
        <f t="shared" si="8"/>
        <v>-0.44887654948443734</v>
      </c>
      <c r="AB79" s="20">
        <f t="shared" si="9"/>
        <v>-1.0929121790097465E-2</v>
      </c>
      <c r="AC79" s="20">
        <f t="shared" si="10"/>
        <v>-0.88848913728282797</v>
      </c>
      <c r="AD79" s="20"/>
    </row>
    <row r="80" spans="1:30" x14ac:dyDescent="0.45">
      <c r="A80" s="8" t="s">
        <v>234</v>
      </c>
      <c r="B80" s="8" t="s">
        <v>732</v>
      </c>
      <c r="C80" s="8">
        <v>67</v>
      </c>
      <c r="D80" s="8" t="s">
        <v>1009</v>
      </c>
      <c r="E80" s="8" t="s">
        <v>1012</v>
      </c>
      <c r="F80" s="8" t="s">
        <v>1016</v>
      </c>
      <c r="G80" s="8" t="s">
        <v>1021</v>
      </c>
      <c r="H80" s="8">
        <v>58484.71</v>
      </c>
      <c r="I80" s="8">
        <v>752</v>
      </c>
      <c r="J80" s="8">
        <v>0</v>
      </c>
      <c r="K80" s="8">
        <v>1</v>
      </c>
      <c r="L80" s="8">
        <v>323.58</v>
      </c>
      <c r="M80" s="8">
        <v>10863.51</v>
      </c>
      <c r="N80" s="8">
        <v>58484.71</v>
      </c>
      <c r="O80" s="8" t="str">
        <f t="shared" si="11"/>
        <v>Fraud</v>
      </c>
      <c r="P80" s="8">
        <v>1</v>
      </c>
      <c r="Q80" s="8" t="s">
        <v>1024</v>
      </c>
      <c r="R80" s="8" t="s">
        <v>1026</v>
      </c>
      <c r="S80" s="8">
        <v>3433</v>
      </c>
      <c r="T80" s="8">
        <v>126</v>
      </c>
      <c r="U80" s="8">
        <v>9059.44</v>
      </c>
      <c r="V80" s="8">
        <v>0.5</v>
      </c>
      <c r="W80" s="8">
        <v>6.5</v>
      </c>
      <c r="X80" s="8">
        <v>208.38</v>
      </c>
      <c r="Y80" s="20" t="str">
        <f t="shared" si="6"/>
        <v>Normal</v>
      </c>
      <c r="Z80" s="20">
        <f t="shared" si="7"/>
        <v>-0.80208332329270249</v>
      </c>
      <c r="AA80" s="20">
        <f t="shared" si="8"/>
        <v>-0.45044407921655139</v>
      </c>
      <c r="AB80" s="20">
        <f t="shared" si="9"/>
        <v>-8.9746367843421632E-2</v>
      </c>
      <c r="AC80" s="20">
        <f t="shared" si="10"/>
        <v>-1.3440967563794628</v>
      </c>
      <c r="AD80" s="20"/>
    </row>
    <row r="81" spans="1:30" x14ac:dyDescent="0.45">
      <c r="A81" s="8" t="s">
        <v>212</v>
      </c>
      <c r="B81" s="8" t="s">
        <v>710</v>
      </c>
      <c r="C81" s="8">
        <v>27.3</v>
      </c>
      <c r="D81" s="8" t="s">
        <v>1009</v>
      </c>
      <c r="E81" s="8" t="s">
        <v>1014</v>
      </c>
      <c r="F81" s="8" t="s">
        <v>1019</v>
      </c>
      <c r="G81" s="8" t="s">
        <v>1020</v>
      </c>
      <c r="H81" s="8">
        <v>93193.24</v>
      </c>
      <c r="I81" s="8">
        <v>781</v>
      </c>
      <c r="J81" s="8">
        <v>0</v>
      </c>
      <c r="K81" s="8">
        <v>1</v>
      </c>
      <c r="L81" s="8">
        <v>324.82</v>
      </c>
      <c r="M81" s="8">
        <v>8857.4599999999991</v>
      </c>
      <c r="N81" s="8">
        <v>63946.31</v>
      </c>
      <c r="O81" s="8" t="str">
        <f t="shared" si="11"/>
        <v>Fraud</v>
      </c>
      <c r="P81" s="8">
        <v>1</v>
      </c>
      <c r="Q81" s="8" t="s">
        <v>1027</v>
      </c>
      <c r="R81" s="8" t="s">
        <v>1030</v>
      </c>
      <c r="S81" s="8">
        <v>2990</v>
      </c>
      <c r="T81" s="8">
        <v>37</v>
      </c>
      <c r="U81" s="8">
        <v>3631.47</v>
      </c>
      <c r="V81" s="8">
        <v>6</v>
      </c>
      <c r="W81" s="8">
        <v>0.7</v>
      </c>
      <c r="X81" s="8">
        <v>318.02</v>
      </c>
      <c r="Y81" s="20" t="str">
        <f t="shared" si="6"/>
        <v>Normal</v>
      </c>
      <c r="Z81" s="20">
        <f t="shared" si="7"/>
        <v>-0.80149159129403325</v>
      </c>
      <c r="AA81" s="20">
        <f t="shared" si="8"/>
        <v>-0.55055687829669664</v>
      </c>
      <c r="AB81" s="20">
        <f t="shared" si="9"/>
        <v>0.19356268294854315</v>
      </c>
      <c r="AC81" s="20">
        <f t="shared" si="10"/>
        <v>0.11267183551215333</v>
      </c>
      <c r="AD81" s="20"/>
    </row>
    <row r="82" spans="1:30" x14ac:dyDescent="0.45">
      <c r="A82" s="8" t="s">
        <v>363</v>
      </c>
      <c r="B82" s="8" t="s">
        <v>858</v>
      </c>
      <c r="C82" s="8">
        <v>37.700000000000003</v>
      </c>
      <c r="D82" s="8" t="s">
        <v>1009</v>
      </c>
      <c r="E82" s="8" t="s">
        <v>1014</v>
      </c>
      <c r="F82" s="8" t="s">
        <v>1019</v>
      </c>
      <c r="G82" s="8" t="s">
        <v>1020</v>
      </c>
      <c r="H82" s="8">
        <v>106451.35</v>
      </c>
      <c r="I82" s="8">
        <v>673</v>
      </c>
      <c r="J82" s="8">
        <v>0</v>
      </c>
      <c r="K82" s="8">
        <v>1</v>
      </c>
      <c r="L82" s="8">
        <v>328.01</v>
      </c>
      <c r="M82" s="8">
        <v>20753.64</v>
      </c>
      <c r="N82" s="8">
        <v>47012.54</v>
      </c>
      <c r="O82" s="8" t="str">
        <f t="shared" si="11"/>
        <v>Fraud</v>
      </c>
      <c r="P82" s="8">
        <v>1</v>
      </c>
      <c r="Q82" s="8" t="s">
        <v>1025</v>
      </c>
      <c r="R82" s="8" t="s">
        <v>1026</v>
      </c>
      <c r="S82" s="8">
        <v>1336</v>
      </c>
      <c r="T82" s="8">
        <v>109</v>
      </c>
      <c r="U82" s="8">
        <v>271.32</v>
      </c>
      <c r="V82" s="8">
        <v>1.5</v>
      </c>
      <c r="W82" s="8">
        <v>13.9</v>
      </c>
      <c r="X82" s="8">
        <v>297.37</v>
      </c>
      <c r="Y82" s="20" t="str">
        <f t="shared" si="6"/>
        <v>Normal</v>
      </c>
      <c r="Z82" s="20">
        <f t="shared" si="7"/>
        <v>-0.79996931300713392</v>
      </c>
      <c r="AA82" s="20">
        <f t="shared" si="8"/>
        <v>4.3127166548268446E-2</v>
      </c>
      <c r="AB82" s="20">
        <f t="shared" si="9"/>
        <v>-0.6848411373659159</v>
      </c>
      <c r="AC82" s="20">
        <f t="shared" si="10"/>
        <v>0.66913441793336648</v>
      </c>
      <c r="AD82" s="20"/>
    </row>
    <row r="83" spans="1:30" x14ac:dyDescent="0.45">
      <c r="A83" s="8" t="s">
        <v>454</v>
      </c>
      <c r="B83" s="8" t="s">
        <v>944</v>
      </c>
      <c r="C83" s="8">
        <v>19.399999999999999</v>
      </c>
      <c r="D83" s="8" t="s">
        <v>1010</v>
      </c>
      <c r="E83" s="8" t="s">
        <v>1013</v>
      </c>
      <c r="F83" s="8" t="s">
        <v>1016</v>
      </c>
      <c r="G83" s="8" t="s">
        <v>1023</v>
      </c>
      <c r="H83" s="8">
        <v>110644.01</v>
      </c>
      <c r="I83" s="8">
        <v>683</v>
      </c>
      <c r="J83" s="8">
        <v>0</v>
      </c>
      <c r="K83" s="8">
        <v>0</v>
      </c>
      <c r="L83" s="8">
        <v>328.36</v>
      </c>
      <c r="M83" s="8">
        <v>50688.17</v>
      </c>
      <c r="N83" s="8">
        <v>68431.73</v>
      </c>
      <c r="O83" s="8" t="str">
        <f t="shared" si="11"/>
        <v>Not Fraud</v>
      </c>
      <c r="P83" s="8">
        <v>0</v>
      </c>
      <c r="Q83" s="8" t="s">
        <v>1024</v>
      </c>
      <c r="R83" s="8" t="s">
        <v>1026</v>
      </c>
      <c r="S83" s="8">
        <v>3990</v>
      </c>
      <c r="T83" s="8">
        <v>57</v>
      </c>
      <c r="U83" s="8">
        <v>1840.15</v>
      </c>
      <c r="V83" s="8">
        <v>4.9000000000000004</v>
      </c>
      <c r="W83" s="8">
        <v>6.9</v>
      </c>
      <c r="X83" s="8">
        <v>0</v>
      </c>
      <c r="Y83" s="20" t="str">
        <f t="shared" si="6"/>
        <v>Normal</v>
      </c>
      <c r="Z83" s="20">
        <f t="shared" si="7"/>
        <v>-0.7998022918784774</v>
      </c>
      <c r="AA83" s="20">
        <f t="shared" si="8"/>
        <v>1.5370229256014227</v>
      </c>
      <c r="AB83" s="20">
        <f t="shared" si="9"/>
        <v>0.42623444261664306</v>
      </c>
      <c r="AC83" s="20">
        <f t="shared" si="10"/>
        <v>0.84510658974474218</v>
      </c>
      <c r="AD83" s="20"/>
    </row>
    <row r="84" spans="1:30" x14ac:dyDescent="0.45">
      <c r="A84" s="8" t="s">
        <v>451</v>
      </c>
      <c r="B84" s="8" t="s">
        <v>941</v>
      </c>
      <c r="C84" s="8">
        <v>65.900000000000006</v>
      </c>
      <c r="D84" s="8" t="s">
        <v>1009</v>
      </c>
      <c r="E84" s="8" t="s">
        <v>1013</v>
      </c>
      <c r="F84" s="8" t="s">
        <v>1019</v>
      </c>
      <c r="G84" s="8" t="s">
        <v>1021</v>
      </c>
      <c r="H84" s="8">
        <v>120684.19</v>
      </c>
      <c r="I84" s="8">
        <v>817</v>
      </c>
      <c r="J84" s="8">
        <v>0</v>
      </c>
      <c r="K84" s="8">
        <v>0</v>
      </c>
      <c r="L84" s="8">
        <v>333.08</v>
      </c>
      <c r="M84" s="8">
        <v>18129.29</v>
      </c>
      <c r="N84" s="8">
        <v>64601.42</v>
      </c>
      <c r="O84" s="8" t="str">
        <f t="shared" si="11"/>
        <v>Not Fraud</v>
      </c>
      <c r="P84" s="8">
        <v>0</v>
      </c>
      <c r="Q84" s="8" t="s">
        <v>1025</v>
      </c>
      <c r="R84" s="8" t="s">
        <v>1030</v>
      </c>
      <c r="S84" s="8">
        <v>4476</v>
      </c>
      <c r="T84" s="8">
        <v>268</v>
      </c>
      <c r="U84" s="8">
        <v>6528.32</v>
      </c>
      <c r="V84" s="8">
        <v>5.6</v>
      </c>
      <c r="W84" s="8">
        <v>3</v>
      </c>
      <c r="X84" s="8">
        <v>0</v>
      </c>
      <c r="Y84" s="20" t="str">
        <f t="shared" si="6"/>
        <v>Normal</v>
      </c>
      <c r="Z84" s="20">
        <f t="shared" si="7"/>
        <v>-0.79754989265773613</v>
      </c>
      <c r="AA84" s="20">
        <f t="shared" si="8"/>
        <v>-8.7842163361743275E-2</v>
      </c>
      <c r="AB84" s="20">
        <f t="shared" si="9"/>
        <v>0.22754514088473846</v>
      </c>
      <c r="AC84" s="20">
        <f t="shared" si="10"/>
        <v>1.2665078672099179</v>
      </c>
      <c r="AD84" s="20"/>
    </row>
    <row r="85" spans="1:30" x14ac:dyDescent="0.45">
      <c r="A85" s="8" t="s">
        <v>395</v>
      </c>
      <c r="B85" s="8" t="s">
        <v>889</v>
      </c>
      <c r="C85" s="8">
        <v>71.8</v>
      </c>
      <c r="D85" s="8" t="s">
        <v>1010</v>
      </c>
      <c r="E85" s="8" t="s">
        <v>1014</v>
      </c>
      <c r="F85" s="8" t="s">
        <v>1019</v>
      </c>
      <c r="G85" s="8" t="s">
        <v>1020</v>
      </c>
      <c r="H85" s="8">
        <v>110663.12</v>
      </c>
      <c r="I85" s="8">
        <v>580</v>
      </c>
      <c r="J85" s="8">
        <v>1</v>
      </c>
      <c r="K85" s="8">
        <v>0</v>
      </c>
      <c r="L85" s="8">
        <v>336.33</v>
      </c>
      <c r="M85" s="8">
        <v>14312.5</v>
      </c>
      <c r="N85" s="8">
        <v>77737.75</v>
      </c>
      <c r="O85" s="8" t="str">
        <f t="shared" si="11"/>
        <v>Fraud</v>
      </c>
      <c r="P85" s="8">
        <v>1</v>
      </c>
      <c r="Q85" s="8" t="s">
        <v>1025</v>
      </c>
      <c r="R85" s="8" t="s">
        <v>1030</v>
      </c>
      <c r="S85" s="8">
        <v>4710</v>
      </c>
      <c r="T85" s="8">
        <v>218</v>
      </c>
      <c r="U85" s="8">
        <v>2930.99</v>
      </c>
      <c r="V85" s="8">
        <v>5.3</v>
      </c>
      <c r="W85" s="8">
        <v>6.4</v>
      </c>
      <c r="X85" s="8">
        <v>215.13</v>
      </c>
      <c r="Y85" s="20" t="str">
        <f t="shared" si="6"/>
        <v>Normal</v>
      </c>
      <c r="Z85" s="20">
        <f t="shared" si="7"/>
        <v>-0.79599898217735288</v>
      </c>
      <c r="AA85" s="20">
        <f t="shared" si="8"/>
        <v>-0.27832073089550746</v>
      </c>
      <c r="AB85" s="20">
        <f t="shared" si="9"/>
        <v>0.90896472181157528</v>
      </c>
      <c r="AC85" s="20">
        <f t="shared" si="10"/>
        <v>0.84590866484821237</v>
      </c>
      <c r="AD85" s="20"/>
    </row>
    <row r="86" spans="1:30" x14ac:dyDescent="0.45">
      <c r="A86" s="8" t="s">
        <v>430</v>
      </c>
      <c r="B86" s="8" t="s">
        <v>920</v>
      </c>
      <c r="C86" s="8">
        <v>47.9</v>
      </c>
      <c r="D86" s="8" t="s">
        <v>1009</v>
      </c>
      <c r="E86" s="8" t="s">
        <v>1014</v>
      </c>
      <c r="F86" s="8" t="s">
        <v>1016</v>
      </c>
      <c r="G86" s="8" t="s">
        <v>1023</v>
      </c>
      <c r="H86" s="8">
        <v>101215.82</v>
      </c>
      <c r="I86" s="8">
        <v>451</v>
      </c>
      <c r="J86" s="8">
        <v>1</v>
      </c>
      <c r="K86" s="8">
        <v>0</v>
      </c>
      <c r="L86" s="8">
        <v>338.85</v>
      </c>
      <c r="M86" s="8">
        <v>42391.05</v>
      </c>
      <c r="N86" s="8">
        <v>79577.16</v>
      </c>
      <c r="O86" s="8" t="str">
        <f t="shared" si="11"/>
        <v>Fraud</v>
      </c>
      <c r="P86" s="8">
        <v>1</v>
      </c>
      <c r="Q86" s="8" t="s">
        <v>1027</v>
      </c>
      <c r="R86" s="8" t="s">
        <v>1030</v>
      </c>
      <c r="S86" s="8">
        <v>3269</v>
      </c>
      <c r="T86" s="8">
        <v>20</v>
      </c>
      <c r="U86" s="8">
        <v>7941.02</v>
      </c>
      <c r="V86" s="8">
        <v>2.2000000000000002</v>
      </c>
      <c r="W86" s="8">
        <v>1.8</v>
      </c>
      <c r="X86" s="8">
        <v>338.56</v>
      </c>
      <c r="Y86" s="20" t="str">
        <f t="shared" si="6"/>
        <v>Normal</v>
      </c>
      <c r="Z86" s="20">
        <f t="shared" si="7"/>
        <v>-0.79479643005102496</v>
      </c>
      <c r="AA86" s="20">
        <f t="shared" si="8"/>
        <v>1.122951537797602</v>
      </c>
      <c r="AB86" s="20">
        <f t="shared" si="9"/>
        <v>1.0043802595875473</v>
      </c>
      <c r="AC86" s="20">
        <f t="shared" si="10"/>
        <v>0.44939144218918176</v>
      </c>
      <c r="AD86" s="20"/>
    </row>
    <row r="87" spans="1:30" x14ac:dyDescent="0.45">
      <c r="A87" s="8" t="s">
        <v>497</v>
      </c>
      <c r="B87" s="8" t="s">
        <v>985</v>
      </c>
      <c r="C87" s="8">
        <v>74.7</v>
      </c>
      <c r="D87" s="8" t="s">
        <v>1010</v>
      </c>
      <c r="E87" s="8" t="s">
        <v>1013</v>
      </c>
      <c r="F87" s="8" t="s">
        <v>1016</v>
      </c>
      <c r="G87" s="8" t="s">
        <v>1022</v>
      </c>
      <c r="H87" s="8">
        <v>72171.17</v>
      </c>
      <c r="I87" s="8">
        <v>687</v>
      </c>
      <c r="J87" s="8">
        <v>0</v>
      </c>
      <c r="K87" s="8">
        <v>1</v>
      </c>
      <c r="L87" s="8">
        <v>340.66</v>
      </c>
      <c r="M87" s="8">
        <v>28094.82</v>
      </c>
      <c r="N87" s="8">
        <v>24475.3</v>
      </c>
      <c r="O87" s="8" t="str">
        <f t="shared" si="11"/>
        <v>Not Fraud</v>
      </c>
      <c r="P87" s="8">
        <v>0</v>
      </c>
      <c r="Q87" s="8" t="s">
        <v>1024</v>
      </c>
      <c r="R87" s="8" t="s">
        <v>1026</v>
      </c>
      <c r="S87" s="8">
        <v>1209</v>
      </c>
      <c r="T87" s="8">
        <v>111</v>
      </c>
      <c r="U87" s="8">
        <v>2483.17</v>
      </c>
      <c r="V87" s="8">
        <v>4.5</v>
      </c>
      <c r="W87" s="8">
        <v>3.8</v>
      </c>
      <c r="X87" s="8">
        <v>0</v>
      </c>
      <c r="Y87" s="20" t="str">
        <f t="shared" si="6"/>
        <v>Normal</v>
      </c>
      <c r="Z87" s="20">
        <f t="shared" si="7"/>
        <v>-0.79393269221425766</v>
      </c>
      <c r="AA87" s="20">
        <f t="shared" si="8"/>
        <v>0.40949195224711976</v>
      </c>
      <c r="AB87" s="20">
        <f t="shared" si="9"/>
        <v>-1.8539132173188058</v>
      </c>
      <c r="AC87" s="20">
        <f t="shared" si="10"/>
        <v>-0.76965568779543103</v>
      </c>
      <c r="AD87" s="20"/>
    </row>
    <row r="88" spans="1:30" x14ac:dyDescent="0.45">
      <c r="A88" s="8" t="s">
        <v>239</v>
      </c>
      <c r="B88" s="8" t="s">
        <v>737</v>
      </c>
      <c r="C88" s="8">
        <v>38.4</v>
      </c>
      <c r="D88" s="8" t="s">
        <v>1010</v>
      </c>
      <c r="E88" s="8" t="s">
        <v>1012</v>
      </c>
      <c r="F88" s="8" t="s">
        <v>1016</v>
      </c>
      <c r="G88" s="8" t="s">
        <v>1023</v>
      </c>
      <c r="H88" s="8">
        <v>69379.899999999994</v>
      </c>
      <c r="I88" s="8">
        <v>593</v>
      </c>
      <c r="J88" s="8">
        <v>1</v>
      </c>
      <c r="K88" s="8">
        <v>0</v>
      </c>
      <c r="L88" s="8">
        <v>342.06</v>
      </c>
      <c r="M88" s="8">
        <v>13713.08</v>
      </c>
      <c r="N88" s="8">
        <v>67528.19</v>
      </c>
      <c r="O88" s="8" t="str">
        <f t="shared" si="11"/>
        <v>Fraud</v>
      </c>
      <c r="P88" s="8">
        <v>1</v>
      </c>
      <c r="Q88" s="8" t="s">
        <v>1025</v>
      </c>
      <c r="R88" s="8" t="s">
        <v>1026</v>
      </c>
      <c r="S88" s="8">
        <v>4731</v>
      </c>
      <c r="T88" s="8">
        <v>141</v>
      </c>
      <c r="U88" s="8">
        <v>7302.63</v>
      </c>
      <c r="V88" s="8">
        <v>5.8</v>
      </c>
      <c r="W88" s="8">
        <v>7.5</v>
      </c>
      <c r="X88" s="8">
        <v>323.95</v>
      </c>
      <c r="Y88" s="20" t="str">
        <f t="shared" si="6"/>
        <v>Normal</v>
      </c>
      <c r="Z88" s="20">
        <f t="shared" si="7"/>
        <v>-0.79326460769963114</v>
      </c>
      <c r="AA88" s="20">
        <f t="shared" si="8"/>
        <v>-0.30823504710129529</v>
      </c>
      <c r="AB88" s="20">
        <f t="shared" si="9"/>
        <v>0.37936519921680234</v>
      </c>
      <c r="AC88" s="20">
        <f t="shared" si="10"/>
        <v>-0.88680943840052184</v>
      </c>
      <c r="AD88" s="20"/>
    </row>
    <row r="89" spans="1:30" x14ac:dyDescent="0.45">
      <c r="A89" s="8" t="s">
        <v>186</v>
      </c>
      <c r="B89" s="8" t="s">
        <v>684</v>
      </c>
      <c r="C89" s="8">
        <v>37.700000000000003</v>
      </c>
      <c r="D89" s="8" t="s">
        <v>1010</v>
      </c>
      <c r="E89" s="8" t="s">
        <v>1012</v>
      </c>
      <c r="F89" s="8" t="s">
        <v>1019</v>
      </c>
      <c r="G89" s="8" t="s">
        <v>1021</v>
      </c>
      <c r="H89" s="8">
        <v>81342.38</v>
      </c>
      <c r="I89" s="8">
        <v>623</v>
      </c>
      <c r="J89" s="8">
        <v>0</v>
      </c>
      <c r="K89" s="8">
        <v>0</v>
      </c>
      <c r="L89" s="8">
        <v>347.91</v>
      </c>
      <c r="M89" s="8">
        <v>17272.060000000001</v>
      </c>
      <c r="N89" s="8">
        <v>59813.99</v>
      </c>
      <c r="O89" s="8" t="str">
        <f t="shared" si="11"/>
        <v>Not Fraud</v>
      </c>
      <c r="P89" s="8">
        <v>0</v>
      </c>
      <c r="Q89" s="8" t="s">
        <v>1025</v>
      </c>
      <c r="R89" s="8" t="s">
        <v>1026</v>
      </c>
      <c r="S89" s="8">
        <v>4977</v>
      </c>
      <c r="T89" s="8">
        <v>61</v>
      </c>
      <c r="U89" s="8">
        <v>6792.22</v>
      </c>
      <c r="V89" s="8">
        <v>3.4</v>
      </c>
      <c r="W89" s="8">
        <v>7.9</v>
      </c>
      <c r="X89" s="8">
        <v>0</v>
      </c>
      <c r="Y89" s="20" t="str">
        <f t="shared" si="6"/>
        <v>Normal</v>
      </c>
      <c r="Z89" s="20">
        <f t="shared" si="7"/>
        <v>-0.79047296883494123</v>
      </c>
      <c r="AA89" s="20">
        <f t="shared" si="8"/>
        <v>-0.13062259991889433</v>
      </c>
      <c r="AB89" s="20">
        <f t="shared" si="9"/>
        <v>-2.0792754426704418E-2</v>
      </c>
      <c r="AC89" s="20">
        <f t="shared" si="10"/>
        <v>-0.3847263727929715</v>
      </c>
      <c r="AD89" s="20"/>
    </row>
    <row r="90" spans="1:30" x14ac:dyDescent="0.45">
      <c r="A90" s="8" t="s">
        <v>278</v>
      </c>
      <c r="B90" s="8" t="s">
        <v>775</v>
      </c>
      <c r="C90" s="8">
        <v>42.7</v>
      </c>
      <c r="D90" s="8" t="s">
        <v>1010</v>
      </c>
      <c r="E90" s="8" t="s">
        <v>1012</v>
      </c>
      <c r="F90" s="8" t="s">
        <v>1016</v>
      </c>
      <c r="G90" s="8" t="s">
        <v>1021</v>
      </c>
      <c r="H90" s="8">
        <v>66618.399999999994</v>
      </c>
      <c r="I90" s="8">
        <v>629</v>
      </c>
      <c r="J90" s="8">
        <v>1</v>
      </c>
      <c r="K90" s="8">
        <v>1</v>
      </c>
      <c r="L90" s="8">
        <v>350.76</v>
      </c>
      <c r="M90" s="8">
        <v>6661.52</v>
      </c>
      <c r="N90" s="8">
        <v>30649.49</v>
      </c>
      <c r="O90" s="8" t="str">
        <f t="shared" si="11"/>
        <v>Not Fraud</v>
      </c>
      <c r="P90" s="8">
        <v>0</v>
      </c>
      <c r="Q90" s="8" t="s">
        <v>1026</v>
      </c>
      <c r="R90" s="8" t="s">
        <v>1026</v>
      </c>
      <c r="S90" s="8">
        <v>4174</v>
      </c>
      <c r="T90" s="8">
        <v>145</v>
      </c>
      <c r="U90" s="8">
        <v>7469.24</v>
      </c>
      <c r="V90" s="8">
        <v>4.9000000000000004</v>
      </c>
      <c r="W90" s="8">
        <v>4.5</v>
      </c>
      <c r="X90" s="8">
        <v>0</v>
      </c>
      <c r="Y90" s="20" t="str">
        <f t="shared" si="6"/>
        <v>Normal</v>
      </c>
      <c r="Z90" s="20">
        <f t="shared" si="7"/>
        <v>-0.78911293964445139</v>
      </c>
      <c r="AA90" s="20">
        <f t="shared" si="8"/>
        <v>-0.66014622054243033</v>
      </c>
      <c r="AB90" s="20">
        <f t="shared" si="9"/>
        <v>-1.5336400540865582</v>
      </c>
      <c r="AC90" s="20">
        <f t="shared" si="10"/>
        <v>-1.0027136978580298</v>
      </c>
      <c r="AD90" s="20"/>
    </row>
    <row r="91" spans="1:30" x14ac:dyDescent="0.45">
      <c r="A91" s="8" t="s">
        <v>85</v>
      </c>
      <c r="B91" s="8" t="s">
        <v>585</v>
      </c>
      <c r="C91" s="8">
        <v>33.4</v>
      </c>
      <c r="D91" s="8" t="s">
        <v>1009</v>
      </c>
      <c r="E91" s="8" t="s">
        <v>1015</v>
      </c>
      <c r="F91" s="8" t="s">
        <v>1019</v>
      </c>
      <c r="G91" s="8" t="s">
        <v>1022</v>
      </c>
      <c r="H91" s="8">
        <v>101955.37</v>
      </c>
      <c r="I91" s="8">
        <v>657</v>
      </c>
      <c r="J91" s="8">
        <v>1</v>
      </c>
      <c r="K91" s="8">
        <v>1</v>
      </c>
      <c r="L91" s="8">
        <v>354.69</v>
      </c>
      <c r="M91" s="8">
        <v>30687.119999999999</v>
      </c>
      <c r="N91" s="8">
        <v>67542.009999999995</v>
      </c>
      <c r="O91" s="8" t="str">
        <f t="shared" si="11"/>
        <v>Fraud</v>
      </c>
      <c r="P91" s="8">
        <v>1</v>
      </c>
      <c r="Q91" s="8" t="s">
        <v>1025</v>
      </c>
      <c r="R91" s="8" t="s">
        <v>1030</v>
      </c>
      <c r="S91" s="8">
        <v>4975</v>
      </c>
      <c r="T91" s="8">
        <v>222</v>
      </c>
      <c r="U91" s="8">
        <v>6211.98</v>
      </c>
      <c r="V91" s="8">
        <v>2.4</v>
      </c>
      <c r="W91" s="8">
        <v>4.3</v>
      </c>
      <c r="X91" s="8">
        <v>345.45</v>
      </c>
      <c r="Y91" s="20" t="str">
        <f t="shared" si="6"/>
        <v>Normal</v>
      </c>
      <c r="Z91" s="20">
        <f t="shared" si="7"/>
        <v>-0.78723753097124938</v>
      </c>
      <c r="AA91" s="20">
        <f t="shared" si="8"/>
        <v>0.53886181294623514</v>
      </c>
      <c r="AB91" s="20">
        <f t="shared" si="9"/>
        <v>0.38008208274579436</v>
      </c>
      <c r="AC91" s="20">
        <f t="shared" si="10"/>
        <v>0.48043145489307409</v>
      </c>
      <c r="AD91" s="20"/>
    </row>
    <row r="92" spans="1:30" x14ac:dyDescent="0.45">
      <c r="A92" s="8" t="s">
        <v>34</v>
      </c>
      <c r="B92" s="8" t="s">
        <v>534</v>
      </c>
      <c r="C92" s="8">
        <v>43</v>
      </c>
      <c r="D92" s="8" t="s">
        <v>1010</v>
      </c>
      <c r="E92" s="8" t="s">
        <v>1012</v>
      </c>
      <c r="F92" s="8" t="s">
        <v>1018</v>
      </c>
      <c r="G92" s="8" t="s">
        <v>1023</v>
      </c>
      <c r="H92" s="8">
        <v>60855.1</v>
      </c>
      <c r="I92" s="8">
        <v>850</v>
      </c>
      <c r="J92" s="8">
        <v>1</v>
      </c>
      <c r="K92" s="8">
        <v>0</v>
      </c>
      <c r="L92" s="8">
        <v>357.61</v>
      </c>
      <c r="M92" s="8">
        <v>18110.96</v>
      </c>
      <c r="N92" s="8">
        <v>52599.78</v>
      </c>
      <c r="O92" s="8" t="str">
        <f t="shared" si="11"/>
        <v>Fraud</v>
      </c>
      <c r="P92" s="8">
        <v>1</v>
      </c>
      <c r="Q92" s="8" t="s">
        <v>1025</v>
      </c>
      <c r="R92" s="8" t="s">
        <v>1029</v>
      </c>
      <c r="S92" s="8">
        <v>2812</v>
      </c>
      <c r="T92" s="8">
        <v>199</v>
      </c>
      <c r="U92" s="8">
        <v>1054.23</v>
      </c>
      <c r="V92" s="8">
        <v>7.3</v>
      </c>
      <c r="W92" s="8">
        <v>5.2</v>
      </c>
      <c r="X92" s="8">
        <v>214.37</v>
      </c>
      <c r="Y92" s="20" t="str">
        <f t="shared" si="6"/>
        <v>Normal</v>
      </c>
      <c r="Z92" s="20">
        <f t="shared" si="7"/>
        <v>-0.78584409755502826</v>
      </c>
      <c r="AA92" s="20">
        <f t="shared" si="8"/>
        <v>-8.875692999624353E-2</v>
      </c>
      <c r="AB92" s="20">
        <f t="shared" si="9"/>
        <v>-0.39501477495437037</v>
      </c>
      <c r="AC92" s="20">
        <f t="shared" si="10"/>
        <v>-1.2446079649344213</v>
      </c>
      <c r="AD92" s="20"/>
    </row>
    <row r="93" spans="1:30" x14ac:dyDescent="0.45">
      <c r="A93" s="8" t="s">
        <v>144</v>
      </c>
      <c r="B93" s="8" t="s">
        <v>642</v>
      </c>
      <c r="C93" s="8">
        <v>36.4</v>
      </c>
      <c r="D93" s="8" t="s">
        <v>1009</v>
      </c>
      <c r="E93" s="8" t="s">
        <v>1014</v>
      </c>
      <c r="F93" s="8" t="s">
        <v>1018</v>
      </c>
      <c r="G93" s="8" t="s">
        <v>1023</v>
      </c>
      <c r="H93" s="8">
        <v>81884.72</v>
      </c>
      <c r="I93" s="8">
        <v>543</v>
      </c>
      <c r="J93" s="8">
        <v>0</v>
      </c>
      <c r="K93" s="8">
        <v>1</v>
      </c>
      <c r="L93" s="8">
        <v>359.61</v>
      </c>
      <c r="M93" s="8">
        <v>16181.57</v>
      </c>
      <c r="N93" s="8">
        <v>64265.87</v>
      </c>
      <c r="O93" s="8" t="str">
        <f t="shared" si="11"/>
        <v>Fraud</v>
      </c>
      <c r="P93" s="8">
        <v>1</v>
      </c>
      <c r="Q93" s="8" t="s">
        <v>1025</v>
      </c>
      <c r="R93" s="8" t="s">
        <v>1028</v>
      </c>
      <c r="S93" s="8">
        <v>2541</v>
      </c>
      <c r="T93" s="8">
        <v>160</v>
      </c>
      <c r="U93" s="8">
        <v>473.87</v>
      </c>
      <c r="V93" s="8">
        <v>4.2</v>
      </c>
      <c r="W93" s="8">
        <v>3.9</v>
      </c>
      <c r="X93" s="8">
        <v>338.91</v>
      </c>
      <c r="Y93" s="20" t="str">
        <f t="shared" si="6"/>
        <v>Normal</v>
      </c>
      <c r="Z93" s="20">
        <f t="shared" si="7"/>
        <v>-0.78488969110556162</v>
      </c>
      <c r="AA93" s="20">
        <f t="shared" si="8"/>
        <v>-0.18504397838349279</v>
      </c>
      <c r="AB93" s="20">
        <f t="shared" si="9"/>
        <v>0.21013918805164145</v>
      </c>
      <c r="AC93" s="20">
        <f t="shared" si="10"/>
        <v>-0.36196355690516252</v>
      </c>
      <c r="AD93" s="20"/>
    </row>
    <row r="94" spans="1:30" x14ac:dyDescent="0.45">
      <c r="A94" s="8" t="s">
        <v>45</v>
      </c>
      <c r="B94" s="8" t="s">
        <v>545</v>
      </c>
      <c r="C94" s="8">
        <v>51</v>
      </c>
      <c r="D94" s="8" t="s">
        <v>1009</v>
      </c>
      <c r="E94" s="8" t="s">
        <v>1015</v>
      </c>
      <c r="F94" s="8" t="s">
        <v>1019</v>
      </c>
      <c r="G94" s="8" t="s">
        <v>1021</v>
      </c>
      <c r="H94" s="8">
        <v>39088.76</v>
      </c>
      <c r="I94" s="8">
        <v>617</v>
      </c>
      <c r="J94" s="8">
        <v>0</v>
      </c>
      <c r="K94" s="8">
        <v>0</v>
      </c>
      <c r="L94" s="8">
        <v>364.34</v>
      </c>
      <c r="M94" s="8">
        <v>6488.84</v>
      </c>
      <c r="N94" s="8">
        <v>28582.48</v>
      </c>
      <c r="O94" s="8" t="str">
        <f t="shared" si="11"/>
        <v>Fraud</v>
      </c>
      <c r="P94" s="8">
        <v>1</v>
      </c>
      <c r="Q94" s="8" t="s">
        <v>1025</v>
      </c>
      <c r="R94" s="8" t="s">
        <v>1026</v>
      </c>
      <c r="S94" s="8">
        <v>1646</v>
      </c>
      <c r="T94" s="8">
        <v>38</v>
      </c>
      <c r="U94" s="8">
        <v>4840.3900000000003</v>
      </c>
      <c r="V94" s="8">
        <v>5.5</v>
      </c>
      <c r="W94" s="8">
        <v>3.1</v>
      </c>
      <c r="X94" s="8">
        <v>278.76</v>
      </c>
      <c r="Y94" s="20" t="str">
        <f t="shared" si="6"/>
        <v>Normal</v>
      </c>
      <c r="Z94" s="20">
        <f t="shared" si="7"/>
        <v>-0.78263251985257309</v>
      </c>
      <c r="AA94" s="20">
        <f t="shared" si="8"/>
        <v>-0.66876389116138768</v>
      </c>
      <c r="AB94" s="20">
        <f t="shared" si="9"/>
        <v>-1.6408618647423185</v>
      </c>
      <c r="AC94" s="20">
        <f t="shared" si="10"/>
        <v>-2.1581736063613022</v>
      </c>
      <c r="AD94" s="20"/>
    </row>
    <row r="95" spans="1:30" x14ac:dyDescent="0.45">
      <c r="A95" s="8" t="s">
        <v>481</v>
      </c>
      <c r="B95" s="8" t="s">
        <v>970</v>
      </c>
      <c r="C95" s="8">
        <v>41.7</v>
      </c>
      <c r="D95" s="8" t="s">
        <v>1010</v>
      </c>
      <c r="E95" s="8" t="s">
        <v>1015</v>
      </c>
      <c r="F95" s="8" t="s">
        <v>1016</v>
      </c>
      <c r="G95" s="8" t="s">
        <v>1022</v>
      </c>
      <c r="H95" s="8">
        <v>121994.39</v>
      </c>
      <c r="I95" s="8">
        <v>568</v>
      </c>
      <c r="J95" s="8">
        <v>1</v>
      </c>
      <c r="K95" s="8">
        <v>1</v>
      </c>
      <c r="L95" s="8">
        <v>364.93</v>
      </c>
      <c r="M95" s="8">
        <v>4211.34</v>
      </c>
      <c r="N95" s="8">
        <v>69840.38</v>
      </c>
      <c r="O95" s="8" t="str">
        <f t="shared" si="11"/>
        <v>Not Fraud</v>
      </c>
      <c r="P95" s="8">
        <v>0</v>
      </c>
      <c r="Q95" s="8" t="s">
        <v>1025</v>
      </c>
      <c r="R95" s="8" t="s">
        <v>1026</v>
      </c>
      <c r="S95" s="8">
        <v>1688</v>
      </c>
      <c r="T95" s="8">
        <v>33</v>
      </c>
      <c r="U95" s="8">
        <v>8930.7199999999993</v>
      </c>
      <c r="V95" s="8">
        <v>6</v>
      </c>
      <c r="W95" s="8">
        <v>6.6</v>
      </c>
      <c r="X95" s="8">
        <v>0</v>
      </c>
      <c r="Y95" s="20" t="str">
        <f t="shared" si="6"/>
        <v>Normal</v>
      </c>
      <c r="Z95" s="20">
        <f t="shared" si="7"/>
        <v>-0.78235096994998043</v>
      </c>
      <c r="AA95" s="20">
        <f t="shared" si="8"/>
        <v>-0.78242352073444466</v>
      </c>
      <c r="AB95" s="20">
        <f t="shared" si="9"/>
        <v>0.4993052083992166</v>
      </c>
      <c r="AC95" s="20">
        <f t="shared" si="10"/>
        <v>1.3214989085791833</v>
      </c>
      <c r="AD95" s="20"/>
    </row>
    <row r="96" spans="1:30" x14ac:dyDescent="0.45">
      <c r="A96" s="8" t="s">
        <v>380</v>
      </c>
      <c r="B96" s="8" t="s">
        <v>767</v>
      </c>
      <c r="C96" s="8">
        <v>45.7</v>
      </c>
      <c r="D96" s="8" t="s">
        <v>1009</v>
      </c>
      <c r="E96" s="8" t="s">
        <v>1012</v>
      </c>
      <c r="F96" s="8" t="s">
        <v>1016</v>
      </c>
      <c r="G96" s="8" t="s">
        <v>1023</v>
      </c>
      <c r="H96" s="8">
        <v>108637.59</v>
      </c>
      <c r="I96" s="8">
        <v>850</v>
      </c>
      <c r="J96" s="8">
        <v>1</v>
      </c>
      <c r="K96" s="8">
        <v>0</v>
      </c>
      <c r="L96" s="8">
        <v>368.13</v>
      </c>
      <c r="M96" s="8">
        <v>27094.19</v>
      </c>
      <c r="N96" s="8">
        <v>71688.259999999995</v>
      </c>
      <c r="O96" s="8" t="str">
        <f t="shared" si="11"/>
        <v>Fraud</v>
      </c>
      <c r="P96" s="8">
        <v>1</v>
      </c>
      <c r="Q96" s="8" t="s">
        <v>1027</v>
      </c>
      <c r="R96" s="8" t="s">
        <v>1026</v>
      </c>
      <c r="S96" s="8">
        <v>1245</v>
      </c>
      <c r="T96" s="8">
        <v>121</v>
      </c>
      <c r="U96" s="8">
        <v>4477.67</v>
      </c>
      <c r="V96" s="8">
        <v>5.7</v>
      </c>
      <c r="W96" s="8">
        <v>4.4000000000000004</v>
      </c>
      <c r="X96" s="8">
        <v>214.26</v>
      </c>
      <c r="Y96" s="20" t="str">
        <f t="shared" si="6"/>
        <v>Normal</v>
      </c>
      <c r="Z96" s="20">
        <f t="shared" si="7"/>
        <v>-0.78082391963083397</v>
      </c>
      <c r="AA96" s="20">
        <f t="shared" si="8"/>
        <v>0.35955507622530286</v>
      </c>
      <c r="AB96" s="20">
        <f t="shared" si="9"/>
        <v>0.59516010966944022</v>
      </c>
      <c r="AC96" s="20">
        <f t="shared" si="10"/>
        <v>0.76089416017359146</v>
      </c>
      <c r="AD96" s="20"/>
    </row>
    <row r="97" spans="1:30" x14ac:dyDescent="0.45">
      <c r="A97" s="8" t="s">
        <v>307</v>
      </c>
      <c r="B97" s="8" t="s">
        <v>803</v>
      </c>
      <c r="C97" s="8">
        <v>82</v>
      </c>
      <c r="D97" s="8" t="s">
        <v>1009</v>
      </c>
      <c r="E97" s="8" t="s">
        <v>1013</v>
      </c>
      <c r="F97" s="8" t="s">
        <v>1016</v>
      </c>
      <c r="G97" s="8" t="s">
        <v>1022</v>
      </c>
      <c r="H97" s="8">
        <v>93604.1</v>
      </c>
      <c r="I97" s="8">
        <v>642</v>
      </c>
      <c r="J97" s="8">
        <v>0</v>
      </c>
      <c r="K97" s="8">
        <v>1</v>
      </c>
      <c r="L97" s="8">
        <v>369.91</v>
      </c>
      <c r="M97" s="8">
        <v>5464.18</v>
      </c>
      <c r="N97" s="8">
        <v>55319.6</v>
      </c>
      <c r="O97" s="8" t="str">
        <f t="shared" si="11"/>
        <v>Fraud</v>
      </c>
      <c r="P97" s="8">
        <v>1</v>
      </c>
      <c r="Q97" s="8" t="s">
        <v>1025</v>
      </c>
      <c r="R97" s="8" t="s">
        <v>1029</v>
      </c>
      <c r="S97" s="8">
        <v>3503</v>
      </c>
      <c r="T97" s="8">
        <v>186</v>
      </c>
      <c r="U97" s="8">
        <v>8058.7</v>
      </c>
      <c r="V97" s="8">
        <v>3.9</v>
      </c>
      <c r="W97" s="8">
        <v>2.2000000000000002</v>
      </c>
      <c r="X97" s="8">
        <v>349.72</v>
      </c>
      <c r="Y97" s="20" t="str">
        <f t="shared" si="6"/>
        <v>Normal</v>
      </c>
      <c r="Z97" s="20">
        <f t="shared" si="7"/>
        <v>-0.77997449789080853</v>
      </c>
      <c r="AA97" s="20">
        <f t="shared" si="8"/>
        <v>-0.71989999480060984</v>
      </c>
      <c r="AB97" s="20">
        <f t="shared" si="9"/>
        <v>-0.25392981404090148</v>
      </c>
      <c r="AC97" s="20">
        <f t="shared" si="10"/>
        <v>0.12991624037933122</v>
      </c>
      <c r="AD97" s="20"/>
    </row>
    <row r="98" spans="1:30" x14ac:dyDescent="0.45">
      <c r="A98" s="8" t="s">
        <v>412</v>
      </c>
      <c r="B98" s="8" t="s">
        <v>902</v>
      </c>
      <c r="C98" s="8">
        <v>41.3</v>
      </c>
      <c r="D98" s="8" t="s">
        <v>1010</v>
      </c>
      <c r="E98" s="8" t="s">
        <v>1014</v>
      </c>
      <c r="F98" s="8" t="s">
        <v>1016</v>
      </c>
      <c r="G98" s="8" t="s">
        <v>1020</v>
      </c>
      <c r="H98" s="8">
        <v>67453.77</v>
      </c>
      <c r="I98" s="8">
        <v>708</v>
      </c>
      <c r="J98" s="8">
        <v>0</v>
      </c>
      <c r="K98" s="8">
        <v>0</v>
      </c>
      <c r="L98" s="8">
        <v>374.62</v>
      </c>
      <c r="M98" s="8">
        <v>65098.67</v>
      </c>
      <c r="N98" s="8">
        <v>60683.05</v>
      </c>
      <c r="O98" s="8" t="str">
        <f t="shared" si="11"/>
        <v>Fraud</v>
      </c>
      <c r="P98" s="8">
        <v>1</v>
      </c>
      <c r="Q98" s="8" t="s">
        <v>1026</v>
      </c>
      <c r="R98" s="8" t="s">
        <v>1029</v>
      </c>
      <c r="S98" s="8">
        <v>134</v>
      </c>
      <c r="T98" s="8">
        <v>242</v>
      </c>
      <c r="U98" s="8">
        <v>4021.4</v>
      </c>
      <c r="V98" s="8">
        <v>5.0999999999999996</v>
      </c>
      <c r="W98" s="8">
        <v>9</v>
      </c>
      <c r="X98" s="8">
        <v>335.32</v>
      </c>
      <c r="Y98" s="20" t="str">
        <f t="shared" si="6"/>
        <v>Normal</v>
      </c>
      <c r="Z98" s="20">
        <f t="shared" si="7"/>
        <v>-0.77772687070231472</v>
      </c>
      <c r="AA98" s="20">
        <f t="shared" si="8"/>
        <v>2.2561852052776188</v>
      </c>
      <c r="AB98" s="20">
        <f t="shared" si="9"/>
        <v>2.4287911253914152E-2</v>
      </c>
      <c r="AC98" s="20">
        <f t="shared" si="10"/>
        <v>-0.96765197733548058</v>
      </c>
      <c r="AD98" s="20"/>
    </row>
    <row r="99" spans="1:30" x14ac:dyDescent="0.45">
      <c r="A99" s="8" t="s">
        <v>236</v>
      </c>
      <c r="B99" s="8" t="s">
        <v>734</v>
      </c>
      <c r="C99" s="8">
        <v>59.8</v>
      </c>
      <c r="D99" s="8" t="s">
        <v>1010</v>
      </c>
      <c r="E99" s="8" t="s">
        <v>1012</v>
      </c>
      <c r="F99" s="8" t="s">
        <v>1019</v>
      </c>
      <c r="G99" s="8" t="s">
        <v>1022</v>
      </c>
      <c r="H99" s="8">
        <v>71732.11</v>
      </c>
      <c r="I99" s="8">
        <v>697</v>
      </c>
      <c r="J99" s="8">
        <v>0</v>
      </c>
      <c r="K99" s="8">
        <v>0</v>
      </c>
      <c r="L99" s="8">
        <v>378.42</v>
      </c>
      <c r="M99" s="8">
        <v>14418.91</v>
      </c>
      <c r="N99" s="8">
        <v>38562.86</v>
      </c>
      <c r="O99" s="8" t="str">
        <f t="shared" si="11"/>
        <v>Fraud</v>
      </c>
      <c r="P99" s="8">
        <v>1</v>
      </c>
      <c r="Q99" s="8" t="s">
        <v>1026</v>
      </c>
      <c r="R99" s="8" t="s">
        <v>1028</v>
      </c>
      <c r="S99" s="8">
        <v>2681</v>
      </c>
      <c r="T99" s="8">
        <v>205</v>
      </c>
      <c r="U99" s="8">
        <v>4716.13</v>
      </c>
      <c r="V99" s="8">
        <v>4.5</v>
      </c>
      <c r="W99" s="8">
        <v>6.7</v>
      </c>
      <c r="X99" s="8">
        <v>353.4</v>
      </c>
      <c r="Y99" s="20" t="str">
        <f t="shared" si="6"/>
        <v>Normal</v>
      </c>
      <c r="Z99" s="20">
        <f t="shared" si="7"/>
        <v>-0.77591349844832813</v>
      </c>
      <c r="AA99" s="20">
        <f t="shared" si="8"/>
        <v>-0.27301029349358913</v>
      </c>
      <c r="AB99" s="20">
        <f t="shared" si="9"/>
        <v>-1.1231505742151633</v>
      </c>
      <c r="AC99" s="20">
        <f t="shared" si="10"/>
        <v>-0.78808368857667777</v>
      </c>
      <c r="AD99" s="20"/>
    </row>
    <row r="100" spans="1:30" x14ac:dyDescent="0.45">
      <c r="A100" s="8" t="s">
        <v>59</v>
      </c>
      <c r="B100" s="8" t="s">
        <v>559</v>
      </c>
      <c r="C100" s="8">
        <v>53.1</v>
      </c>
      <c r="D100" s="8" t="s">
        <v>1010</v>
      </c>
      <c r="E100" s="8" t="s">
        <v>1012</v>
      </c>
      <c r="F100" s="8" t="s">
        <v>1016</v>
      </c>
      <c r="G100" s="8" t="s">
        <v>1020</v>
      </c>
      <c r="H100" s="8">
        <v>66123.77</v>
      </c>
      <c r="I100" s="8">
        <v>592</v>
      </c>
      <c r="J100" s="8">
        <v>0</v>
      </c>
      <c r="K100" s="8">
        <v>0</v>
      </c>
      <c r="L100" s="8">
        <v>382.23</v>
      </c>
      <c r="M100" s="8">
        <v>33180.449999999997</v>
      </c>
      <c r="N100" s="8">
        <v>20414</v>
      </c>
      <c r="O100" s="8" t="str">
        <f t="shared" si="11"/>
        <v>Not Fraud</v>
      </c>
      <c r="P100" s="8">
        <v>0</v>
      </c>
      <c r="Q100" s="8" t="s">
        <v>1027</v>
      </c>
      <c r="R100" s="8" t="s">
        <v>1028</v>
      </c>
      <c r="S100" s="8">
        <v>3488</v>
      </c>
      <c r="T100" s="8">
        <v>73</v>
      </c>
      <c r="U100" s="8">
        <v>8419.84</v>
      </c>
      <c r="V100" s="8">
        <v>7.1</v>
      </c>
      <c r="W100" s="8">
        <v>1.6</v>
      </c>
      <c r="X100" s="8">
        <v>0</v>
      </c>
      <c r="Y100" s="20" t="str">
        <f t="shared" si="6"/>
        <v>Normal</v>
      </c>
      <c r="Z100" s="20">
        <f t="shared" si="7"/>
        <v>-0.7740953541620943</v>
      </c>
      <c r="AA100" s="20">
        <f t="shared" si="8"/>
        <v>0.66329253268427679</v>
      </c>
      <c r="AB100" s="20">
        <f t="shared" si="9"/>
        <v>-2.0645846410740067</v>
      </c>
      <c r="AC100" s="20">
        <f t="shared" si="10"/>
        <v>-1.0234740541337735</v>
      </c>
      <c r="AD100" s="20"/>
    </row>
    <row r="101" spans="1:30" x14ac:dyDescent="0.45">
      <c r="A101" s="8" t="s">
        <v>486</v>
      </c>
      <c r="B101" s="8" t="s">
        <v>975</v>
      </c>
      <c r="C101" s="8">
        <v>53.2</v>
      </c>
      <c r="D101" s="8" t="s">
        <v>1009</v>
      </c>
      <c r="E101" s="8" t="s">
        <v>1012</v>
      </c>
      <c r="F101" s="8" t="s">
        <v>1016</v>
      </c>
      <c r="G101" s="8" t="s">
        <v>1023</v>
      </c>
      <c r="H101" s="8">
        <v>60185.55</v>
      </c>
      <c r="I101" s="8">
        <v>777</v>
      </c>
      <c r="J101" s="8">
        <v>1</v>
      </c>
      <c r="K101" s="8">
        <v>1</v>
      </c>
      <c r="L101" s="8">
        <v>382.27</v>
      </c>
      <c r="M101" s="8">
        <v>11746.34</v>
      </c>
      <c r="N101" s="8">
        <v>42744.480000000003</v>
      </c>
      <c r="O101" s="8" t="str">
        <f t="shared" si="11"/>
        <v>Not Fraud</v>
      </c>
      <c r="P101" s="8">
        <v>0</v>
      </c>
      <c r="Q101" s="8" t="s">
        <v>1025</v>
      </c>
      <c r="R101" s="8" t="s">
        <v>1026</v>
      </c>
      <c r="S101" s="8">
        <v>4985</v>
      </c>
      <c r="T101" s="8">
        <v>5</v>
      </c>
      <c r="U101" s="8">
        <v>2304.73</v>
      </c>
      <c r="V101" s="8">
        <v>6.1</v>
      </c>
      <c r="W101" s="8">
        <v>8.8000000000000007</v>
      </c>
      <c r="X101" s="8">
        <v>0</v>
      </c>
      <c r="Y101" s="20" t="str">
        <f t="shared" si="6"/>
        <v>Normal</v>
      </c>
      <c r="Z101" s="20">
        <f t="shared" si="7"/>
        <v>-0.77407626603310498</v>
      </c>
      <c r="AA101" s="20">
        <f t="shared" si="8"/>
        <v>-0.40638606350810708</v>
      </c>
      <c r="AB101" s="20">
        <f t="shared" si="9"/>
        <v>-0.90623780268801069</v>
      </c>
      <c r="AC101" s="20">
        <f t="shared" si="10"/>
        <v>-1.2727099735962983</v>
      </c>
      <c r="AD101" s="20"/>
    </row>
    <row r="102" spans="1:30" x14ac:dyDescent="0.45">
      <c r="A102" s="8" t="s">
        <v>468</v>
      </c>
      <c r="B102" s="8" t="s">
        <v>957</v>
      </c>
      <c r="C102" s="8">
        <v>60</v>
      </c>
      <c r="D102" s="8" t="s">
        <v>1009</v>
      </c>
      <c r="E102" s="8" t="s">
        <v>1014</v>
      </c>
      <c r="F102" s="8" t="s">
        <v>1016</v>
      </c>
      <c r="G102" s="8" t="s">
        <v>1020</v>
      </c>
      <c r="H102" s="8">
        <v>101484.44</v>
      </c>
      <c r="I102" s="8">
        <v>717</v>
      </c>
      <c r="J102" s="8">
        <v>0</v>
      </c>
      <c r="K102" s="8">
        <v>1</v>
      </c>
      <c r="L102" s="8">
        <v>383.53</v>
      </c>
      <c r="M102" s="8">
        <v>52847.49</v>
      </c>
      <c r="N102" s="8">
        <v>76982.039999999994</v>
      </c>
      <c r="O102" s="8" t="str">
        <f t="shared" si="11"/>
        <v>Not Fraud</v>
      </c>
      <c r="P102" s="8">
        <v>0</v>
      </c>
      <c r="Q102" s="8" t="s">
        <v>1026</v>
      </c>
      <c r="R102" s="8" t="s">
        <v>1030</v>
      </c>
      <c r="S102" s="8">
        <v>136</v>
      </c>
      <c r="T102" s="8">
        <v>59</v>
      </c>
      <c r="U102" s="8">
        <v>1307.69</v>
      </c>
      <c r="V102" s="8">
        <v>6.8</v>
      </c>
      <c r="W102" s="8">
        <v>3.7</v>
      </c>
      <c r="X102" s="8">
        <v>0</v>
      </c>
      <c r="Y102" s="20" t="str">
        <f t="shared" si="6"/>
        <v>Normal</v>
      </c>
      <c r="Z102" s="20">
        <f t="shared" si="7"/>
        <v>-0.77347498996994102</v>
      </c>
      <c r="AA102" s="20">
        <f t="shared" si="8"/>
        <v>1.6447847307955799</v>
      </c>
      <c r="AB102" s="20">
        <f t="shared" si="9"/>
        <v>0.86976384976419041</v>
      </c>
      <c r="AC102" s="20">
        <f t="shared" si="10"/>
        <v>0.46066582284298413</v>
      </c>
      <c r="AD102" s="20"/>
    </row>
    <row r="103" spans="1:30" x14ac:dyDescent="0.45">
      <c r="A103" s="8" t="s">
        <v>157</v>
      </c>
      <c r="B103" s="8" t="s">
        <v>655</v>
      </c>
      <c r="C103" s="8">
        <v>36.200000000000003</v>
      </c>
      <c r="D103" s="8" t="s">
        <v>1009</v>
      </c>
      <c r="E103" s="8" t="s">
        <v>1014</v>
      </c>
      <c r="F103" s="8" t="s">
        <v>1016</v>
      </c>
      <c r="G103" s="8" t="s">
        <v>1023</v>
      </c>
      <c r="H103" s="8">
        <v>99261.37</v>
      </c>
      <c r="I103" s="8">
        <v>614</v>
      </c>
      <c r="J103" s="8">
        <v>0</v>
      </c>
      <c r="K103" s="8">
        <v>1</v>
      </c>
      <c r="L103" s="8">
        <v>384.22</v>
      </c>
      <c r="M103" s="8">
        <v>18293.830000000002</v>
      </c>
      <c r="N103" s="8">
        <v>72708.36</v>
      </c>
      <c r="O103" s="8" t="str">
        <f t="shared" si="11"/>
        <v>Fraud</v>
      </c>
      <c r="P103" s="8">
        <v>1</v>
      </c>
      <c r="Q103" s="8" t="s">
        <v>1026</v>
      </c>
      <c r="R103" s="8" t="s">
        <v>1029</v>
      </c>
      <c r="S103" s="8">
        <v>4060</v>
      </c>
      <c r="T103" s="8">
        <v>50</v>
      </c>
      <c r="U103" s="8">
        <v>155.19999999999999</v>
      </c>
      <c r="V103" s="8">
        <v>5.9</v>
      </c>
      <c r="W103" s="8">
        <v>1.2</v>
      </c>
      <c r="X103" s="8">
        <v>327.13</v>
      </c>
      <c r="Y103" s="20" t="str">
        <f t="shared" si="6"/>
        <v>Normal</v>
      </c>
      <c r="Z103" s="20">
        <f t="shared" si="7"/>
        <v>-0.773145719744875</v>
      </c>
      <c r="AA103" s="20">
        <f t="shared" si="8"/>
        <v>-7.9630722988548605E-2</v>
      </c>
      <c r="AB103" s="20">
        <f t="shared" si="9"/>
        <v>0.64807565872335937</v>
      </c>
      <c r="AC103" s="20">
        <f t="shared" si="10"/>
        <v>0.36736027076179534</v>
      </c>
      <c r="AD103" s="20"/>
    </row>
    <row r="104" spans="1:30" x14ac:dyDescent="0.45">
      <c r="A104" s="8" t="s">
        <v>340</v>
      </c>
      <c r="B104" s="8" t="s">
        <v>836</v>
      </c>
      <c r="C104" s="8">
        <v>45.3</v>
      </c>
      <c r="D104" s="8" t="s">
        <v>1010</v>
      </c>
      <c r="E104" s="8" t="s">
        <v>1013</v>
      </c>
      <c r="F104" s="8" t="s">
        <v>1017</v>
      </c>
      <c r="G104" s="8" t="s">
        <v>1022</v>
      </c>
      <c r="H104" s="8">
        <v>102546.63</v>
      </c>
      <c r="I104" s="8">
        <v>684</v>
      </c>
      <c r="J104" s="8">
        <v>0</v>
      </c>
      <c r="K104" s="8">
        <v>1</v>
      </c>
      <c r="L104" s="8">
        <v>393.29</v>
      </c>
      <c r="M104" s="8">
        <v>45459.61</v>
      </c>
      <c r="N104" s="8">
        <v>56181.919999999998</v>
      </c>
      <c r="O104" s="8" t="str">
        <f t="shared" si="11"/>
        <v>Fraud</v>
      </c>
      <c r="P104" s="8">
        <v>1</v>
      </c>
      <c r="Q104" s="8" t="s">
        <v>1025</v>
      </c>
      <c r="R104" s="8" t="s">
        <v>1030</v>
      </c>
      <c r="S104" s="8">
        <v>4962</v>
      </c>
      <c r="T104" s="8">
        <v>174</v>
      </c>
      <c r="U104" s="8">
        <v>2103.25</v>
      </c>
      <c r="V104" s="8">
        <v>2.2999999999999998</v>
      </c>
      <c r="W104" s="8">
        <v>2</v>
      </c>
      <c r="X104" s="8">
        <v>344.15</v>
      </c>
      <c r="Y104" s="20" t="str">
        <f t="shared" si="6"/>
        <v>Normal</v>
      </c>
      <c r="Z104" s="20">
        <f t="shared" si="7"/>
        <v>-0.76881748649654402</v>
      </c>
      <c r="AA104" s="20">
        <f t="shared" si="8"/>
        <v>1.2760893612543307</v>
      </c>
      <c r="AB104" s="20">
        <f t="shared" si="9"/>
        <v>-0.20919877173115214</v>
      </c>
      <c r="AC104" s="20">
        <f t="shared" si="10"/>
        <v>0.50524751589138917</v>
      </c>
      <c r="AD104" s="20"/>
    </row>
    <row r="105" spans="1:30" x14ac:dyDescent="0.45">
      <c r="A105" s="8" t="s">
        <v>389</v>
      </c>
      <c r="B105" s="8" t="s">
        <v>883</v>
      </c>
      <c r="C105" s="8">
        <v>53.4</v>
      </c>
      <c r="D105" s="8" t="s">
        <v>1009</v>
      </c>
      <c r="E105" s="8" t="s">
        <v>1014</v>
      </c>
      <c r="F105" s="8" t="s">
        <v>1016</v>
      </c>
      <c r="G105" s="8" t="s">
        <v>1022</v>
      </c>
      <c r="H105" s="8">
        <v>113781.15</v>
      </c>
      <c r="I105" s="8">
        <v>698</v>
      </c>
      <c r="J105" s="8">
        <v>1</v>
      </c>
      <c r="K105" s="8">
        <v>0</v>
      </c>
      <c r="L105" s="8">
        <v>414.9</v>
      </c>
      <c r="M105" s="8">
        <v>9670.6</v>
      </c>
      <c r="N105" s="8">
        <v>57449.02</v>
      </c>
      <c r="O105" s="8" t="str">
        <f t="shared" si="11"/>
        <v>Fraud</v>
      </c>
      <c r="P105" s="8">
        <v>1</v>
      </c>
      <c r="Q105" s="8" t="s">
        <v>1025</v>
      </c>
      <c r="R105" s="8" t="s">
        <v>1030</v>
      </c>
      <c r="S105" s="8">
        <v>693</v>
      </c>
      <c r="T105" s="8">
        <v>289</v>
      </c>
      <c r="U105" s="8">
        <v>9133.86</v>
      </c>
      <c r="V105" s="8">
        <v>3.1</v>
      </c>
      <c r="W105" s="8">
        <v>3.2</v>
      </c>
      <c r="X105" s="8">
        <v>369.78</v>
      </c>
      <c r="Y105" s="20" t="str">
        <f t="shared" si="6"/>
        <v>Normal</v>
      </c>
      <c r="Z105" s="20">
        <f t="shared" si="7"/>
        <v>-0.75850512481005739</v>
      </c>
      <c r="AA105" s="20">
        <f t="shared" si="8"/>
        <v>-0.50997677239503447</v>
      </c>
      <c r="AB105" s="20">
        <f t="shared" si="9"/>
        <v>-0.1434706154658639</v>
      </c>
      <c r="AC105" s="20">
        <f t="shared" si="10"/>
        <v>0.97677701832143105</v>
      </c>
      <c r="AD105" s="20"/>
    </row>
    <row r="106" spans="1:30" x14ac:dyDescent="0.45">
      <c r="A106" s="8" t="s">
        <v>457</v>
      </c>
      <c r="B106" s="8" t="s">
        <v>947</v>
      </c>
      <c r="C106" s="8">
        <v>72.5</v>
      </c>
      <c r="D106" s="8" t="s">
        <v>1009</v>
      </c>
      <c r="E106" s="8" t="s">
        <v>1012</v>
      </c>
      <c r="F106" s="8" t="s">
        <v>1019</v>
      </c>
      <c r="G106" s="8" t="s">
        <v>1020</v>
      </c>
      <c r="H106" s="8">
        <v>84740.92</v>
      </c>
      <c r="I106" s="8">
        <v>740</v>
      </c>
      <c r="J106" s="8">
        <v>0</v>
      </c>
      <c r="K106" s="8">
        <v>1</v>
      </c>
      <c r="L106" s="8">
        <v>422.38</v>
      </c>
      <c r="M106" s="8">
        <v>4569.21</v>
      </c>
      <c r="N106" s="8">
        <v>48833.96</v>
      </c>
      <c r="O106" s="8" t="str">
        <f t="shared" si="11"/>
        <v>Not Fraud</v>
      </c>
      <c r="P106" s="8">
        <v>0</v>
      </c>
      <c r="Q106" s="8" t="s">
        <v>1027</v>
      </c>
      <c r="R106" s="8" t="s">
        <v>1030</v>
      </c>
      <c r="S106" s="8">
        <v>803</v>
      </c>
      <c r="T106" s="8">
        <v>19</v>
      </c>
      <c r="U106" s="8">
        <v>8602.1299999999992</v>
      </c>
      <c r="V106" s="8">
        <v>5.0999999999999996</v>
      </c>
      <c r="W106" s="8">
        <v>4.8</v>
      </c>
      <c r="X106" s="8">
        <v>0</v>
      </c>
      <c r="Y106" s="20" t="str">
        <f t="shared" si="6"/>
        <v>Normal</v>
      </c>
      <c r="Z106" s="20">
        <f t="shared" si="7"/>
        <v>-0.75493564468905228</v>
      </c>
      <c r="AA106" s="20">
        <f t="shared" si="8"/>
        <v>-0.76456386249720654</v>
      </c>
      <c r="AB106" s="20">
        <f t="shared" si="9"/>
        <v>-0.59035879312732287</v>
      </c>
      <c r="AC106" s="20">
        <f t="shared" si="10"/>
        <v>-0.24208459769367105</v>
      </c>
      <c r="AD106" s="20"/>
    </row>
    <row r="107" spans="1:30" x14ac:dyDescent="0.45">
      <c r="A107" s="8" t="s">
        <v>128</v>
      </c>
      <c r="B107" s="8" t="s">
        <v>626</v>
      </c>
      <c r="C107" s="8">
        <v>56.1</v>
      </c>
      <c r="D107" s="8" t="s">
        <v>1009</v>
      </c>
      <c r="E107" s="8" t="s">
        <v>1014</v>
      </c>
      <c r="F107" s="8" t="s">
        <v>1016</v>
      </c>
      <c r="G107" s="8" t="s">
        <v>1020</v>
      </c>
      <c r="H107" s="8">
        <v>69843.350000000006</v>
      </c>
      <c r="I107" s="8">
        <v>843</v>
      </c>
      <c r="J107" s="8">
        <v>0</v>
      </c>
      <c r="K107" s="8">
        <v>1</v>
      </c>
      <c r="L107" s="8">
        <v>427.17</v>
      </c>
      <c r="M107" s="8">
        <v>933.14</v>
      </c>
      <c r="N107" s="8">
        <v>68638.45</v>
      </c>
      <c r="O107" s="8" t="str">
        <f t="shared" si="11"/>
        <v>Fraud</v>
      </c>
      <c r="P107" s="8">
        <v>1</v>
      </c>
      <c r="Q107" s="8" t="s">
        <v>1027</v>
      </c>
      <c r="R107" s="8" t="s">
        <v>1029</v>
      </c>
      <c r="S107" s="8">
        <v>3197</v>
      </c>
      <c r="T107" s="8">
        <v>289</v>
      </c>
      <c r="U107" s="8">
        <v>1804.66</v>
      </c>
      <c r="V107" s="8">
        <v>4</v>
      </c>
      <c r="W107" s="8">
        <v>8.6</v>
      </c>
      <c r="X107" s="8">
        <v>418.49</v>
      </c>
      <c r="Y107" s="20" t="str">
        <f t="shared" si="6"/>
        <v>Normal</v>
      </c>
      <c r="Z107" s="20">
        <f t="shared" si="7"/>
        <v>-0.75264984124257961</v>
      </c>
      <c r="AA107" s="20">
        <f t="shared" si="8"/>
        <v>-0.94602351970981025</v>
      </c>
      <c r="AB107" s="20">
        <f t="shared" si="9"/>
        <v>0.43695760926738925</v>
      </c>
      <c r="AC107" s="20">
        <f t="shared" si="10"/>
        <v>-0.86735775306806362</v>
      </c>
      <c r="AD107" s="20"/>
    </row>
    <row r="108" spans="1:30" x14ac:dyDescent="0.45">
      <c r="A108" s="8" t="s">
        <v>514</v>
      </c>
      <c r="B108" s="8" t="s">
        <v>1000</v>
      </c>
      <c r="C108" s="8">
        <v>72.2</v>
      </c>
      <c r="D108" s="8" t="s">
        <v>1009</v>
      </c>
      <c r="E108" s="8" t="s">
        <v>1013</v>
      </c>
      <c r="F108" s="8" t="s">
        <v>1018</v>
      </c>
      <c r="G108" s="8" t="s">
        <v>1022</v>
      </c>
      <c r="H108" s="8">
        <v>105324.73</v>
      </c>
      <c r="I108" s="8">
        <v>568</v>
      </c>
      <c r="J108" s="8">
        <v>0</v>
      </c>
      <c r="K108" s="8">
        <v>0</v>
      </c>
      <c r="L108" s="8">
        <v>433.68</v>
      </c>
      <c r="M108" s="8">
        <v>5320.17</v>
      </c>
      <c r="N108" s="8">
        <v>88969.98</v>
      </c>
      <c r="O108" s="8" t="str">
        <f t="shared" si="11"/>
        <v>Not Fraud</v>
      </c>
      <c r="P108" s="8">
        <v>0</v>
      </c>
      <c r="Q108" s="8" t="s">
        <v>1025</v>
      </c>
      <c r="R108" s="8" t="s">
        <v>1026</v>
      </c>
      <c r="S108" s="8">
        <v>741</v>
      </c>
      <c r="T108" s="8">
        <v>184</v>
      </c>
      <c r="U108" s="8">
        <v>3134.48</v>
      </c>
      <c r="V108" s="8">
        <v>3.9</v>
      </c>
      <c r="W108" s="8">
        <v>4.2</v>
      </c>
      <c r="X108" s="8">
        <v>0</v>
      </c>
      <c r="Y108" s="20" t="str">
        <f t="shared" si="6"/>
        <v>Normal</v>
      </c>
      <c r="Z108" s="20">
        <f t="shared" si="7"/>
        <v>-0.74954324824956586</v>
      </c>
      <c r="AA108" s="20">
        <f t="shared" si="8"/>
        <v>-0.72708687658099014</v>
      </c>
      <c r="AB108" s="20">
        <f t="shared" si="9"/>
        <v>1.4916131068227496</v>
      </c>
      <c r="AC108" s="20">
        <f t="shared" si="10"/>
        <v>0.62184850202171749</v>
      </c>
      <c r="AD108" s="20"/>
    </row>
    <row r="109" spans="1:30" x14ac:dyDescent="0.45">
      <c r="A109" s="8" t="s">
        <v>343</v>
      </c>
      <c r="B109" s="8" t="s">
        <v>838</v>
      </c>
      <c r="C109" s="8">
        <v>51.5</v>
      </c>
      <c r="D109" s="8" t="s">
        <v>1009</v>
      </c>
      <c r="E109" s="8" t="s">
        <v>1013</v>
      </c>
      <c r="F109" s="8" t="s">
        <v>1018</v>
      </c>
      <c r="G109" s="8" t="s">
        <v>1023</v>
      </c>
      <c r="H109" s="8">
        <v>74610.899999999994</v>
      </c>
      <c r="I109" s="8">
        <v>574</v>
      </c>
      <c r="J109" s="8">
        <v>1</v>
      </c>
      <c r="K109" s="8">
        <v>0</v>
      </c>
      <c r="L109" s="8">
        <v>436.26</v>
      </c>
      <c r="M109" s="8">
        <v>62604.43</v>
      </c>
      <c r="N109" s="8">
        <v>40871.269999999997</v>
      </c>
      <c r="O109" s="8" t="str">
        <f t="shared" si="11"/>
        <v>Not Fraud</v>
      </c>
      <c r="P109" s="8">
        <v>0</v>
      </c>
      <c r="Q109" s="8" t="s">
        <v>1027</v>
      </c>
      <c r="R109" s="8" t="s">
        <v>1029</v>
      </c>
      <c r="S109" s="8">
        <v>176</v>
      </c>
      <c r="T109" s="8">
        <v>44</v>
      </c>
      <c r="U109" s="8">
        <v>9688.48</v>
      </c>
      <c r="V109" s="8">
        <v>3.9</v>
      </c>
      <c r="W109" s="8">
        <v>0.5</v>
      </c>
      <c r="X109" s="8">
        <v>0</v>
      </c>
      <c r="Y109" s="20" t="str">
        <f t="shared" si="6"/>
        <v>Normal</v>
      </c>
      <c r="Z109" s="20">
        <f t="shared" si="7"/>
        <v>-0.74831206392975391</v>
      </c>
      <c r="AA109" s="20">
        <f t="shared" si="8"/>
        <v>2.1317090715931837</v>
      </c>
      <c r="AB109" s="20">
        <f t="shared" si="9"/>
        <v>-1.0034066446086967</v>
      </c>
      <c r="AC109" s="20">
        <f t="shared" si="10"/>
        <v>-0.66725659348934174</v>
      </c>
      <c r="AD109" s="20"/>
    </row>
    <row r="110" spans="1:30" x14ac:dyDescent="0.45">
      <c r="A110" s="8" t="s">
        <v>413</v>
      </c>
      <c r="B110" s="8" t="s">
        <v>903</v>
      </c>
      <c r="C110" s="8">
        <v>36.5</v>
      </c>
      <c r="D110" s="8" t="s">
        <v>1009</v>
      </c>
      <c r="E110" s="8" t="s">
        <v>1012</v>
      </c>
      <c r="F110" s="8" t="s">
        <v>1016</v>
      </c>
      <c r="G110" s="8" t="s">
        <v>1023</v>
      </c>
      <c r="H110" s="8">
        <v>60887.78</v>
      </c>
      <c r="I110" s="8">
        <v>577</v>
      </c>
      <c r="J110" s="8">
        <v>0</v>
      </c>
      <c r="K110" s="8">
        <v>1</v>
      </c>
      <c r="L110" s="8">
        <v>440.52</v>
      </c>
      <c r="M110" s="8">
        <v>22736.41</v>
      </c>
      <c r="N110" s="8">
        <v>38255.08</v>
      </c>
      <c r="O110" s="8" t="str">
        <f t="shared" si="11"/>
        <v>Fraud</v>
      </c>
      <c r="P110" s="8">
        <v>1</v>
      </c>
      <c r="Q110" s="8" t="s">
        <v>1027</v>
      </c>
      <c r="R110" s="8" t="s">
        <v>1026</v>
      </c>
      <c r="S110" s="8">
        <v>3597</v>
      </c>
      <c r="T110" s="8">
        <v>141</v>
      </c>
      <c r="U110" s="8">
        <v>3011.88</v>
      </c>
      <c r="V110" s="8">
        <v>3.7</v>
      </c>
      <c r="W110" s="8">
        <v>10.6</v>
      </c>
      <c r="X110" s="8">
        <v>313.38</v>
      </c>
      <c r="Y110" s="20" t="str">
        <f t="shared" si="6"/>
        <v>Normal</v>
      </c>
      <c r="Z110" s="20">
        <f t="shared" si="7"/>
        <v>-0.74627917819239009</v>
      </c>
      <c r="AA110" s="20">
        <f t="shared" si="8"/>
        <v>0.14207816708770646</v>
      </c>
      <c r="AB110" s="20">
        <f t="shared" si="9"/>
        <v>-1.139116016512796</v>
      </c>
      <c r="AC110" s="20">
        <f t="shared" si="10"/>
        <v>-1.2432363367616632</v>
      </c>
      <c r="AD110" s="20"/>
    </row>
    <row r="111" spans="1:30" x14ac:dyDescent="0.45">
      <c r="A111" s="8" t="s">
        <v>333</v>
      </c>
      <c r="B111" s="8" t="s">
        <v>829</v>
      </c>
      <c r="C111" s="8">
        <v>46.7</v>
      </c>
      <c r="D111" s="8" t="s">
        <v>1009</v>
      </c>
      <c r="E111" s="8" t="s">
        <v>1011</v>
      </c>
      <c r="F111" s="8" t="s">
        <v>1019</v>
      </c>
      <c r="G111" s="8" t="s">
        <v>1020</v>
      </c>
      <c r="H111" s="8">
        <v>98802.02</v>
      </c>
      <c r="I111" s="8">
        <v>527</v>
      </c>
      <c r="J111" s="8">
        <v>0</v>
      </c>
      <c r="K111" s="8">
        <v>1</v>
      </c>
      <c r="L111" s="8">
        <v>441.78</v>
      </c>
      <c r="M111" s="8">
        <v>10394.82</v>
      </c>
      <c r="N111" s="8">
        <v>63794.12</v>
      </c>
      <c r="O111" s="8" t="str">
        <f t="shared" si="11"/>
        <v>Fraud</v>
      </c>
      <c r="P111" s="8">
        <v>1</v>
      </c>
      <c r="Q111" s="8" t="s">
        <v>1027</v>
      </c>
      <c r="R111" s="8" t="s">
        <v>1029</v>
      </c>
      <c r="S111" s="8">
        <v>2705</v>
      </c>
      <c r="T111" s="8">
        <v>88</v>
      </c>
      <c r="U111" s="8">
        <v>1140.23</v>
      </c>
      <c r="V111" s="8">
        <v>2</v>
      </c>
      <c r="W111" s="8">
        <v>8</v>
      </c>
      <c r="X111" s="8">
        <v>301.51</v>
      </c>
      <c r="Y111" s="20" t="str">
        <f t="shared" si="6"/>
        <v>Normal</v>
      </c>
      <c r="Z111" s="20">
        <f t="shared" si="7"/>
        <v>-0.74567790212922613</v>
      </c>
      <c r="AA111" s="20">
        <f t="shared" si="8"/>
        <v>-0.47383425782669236</v>
      </c>
      <c r="AB111" s="20">
        <f t="shared" si="9"/>
        <v>0.18566814573599963</v>
      </c>
      <c r="AC111" s="20">
        <f t="shared" si="10"/>
        <v>0.34808066852322739</v>
      </c>
      <c r="AD111" s="20"/>
    </row>
    <row r="112" spans="1:30" x14ac:dyDescent="0.45">
      <c r="A112" s="8" t="s">
        <v>206</v>
      </c>
      <c r="B112" s="8" t="s">
        <v>704</v>
      </c>
      <c r="C112" s="8">
        <v>57.2</v>
      </c>
      <c r="D112" s="8" t="s">
        <v>1009</v>
      </c>
      <c r="E112" s="8" t="s">
        <v>1014</v>
      </c>
      <c r="F112" s="8" t="s">
        <v>1016</v>
      </c>
      <c r="G112" s="8" t="s">
        <v>1022</v>
      </c>
      <c r="H112" s="8">
        <v>97081.46</v>
      </c>
      <c r="I112" s="8">
        <v>651</v>
      </c>
      <c r="J112" s="8">
        <v>1</v>
      </c>
      <c r="K112" s="8">
        <v>0</v>
      </c>
      <c r="L112" s="8">
        <v>448.57</v>
      </c>
      <c r="M112" s="8">
        <v>95431.05</v>
      </c>
      <c r="N112" s="8">
        <v>57314.42</v>
      </c>
      <c r="O112" s="8" t="str">
        <f t="shared" si="11"/>
        <v>Not Fraud</v>
      </c>
      <c r="P112" s="8">
        <v>0</v>
      </c>
      <c r="Q112" s="8" t="s">
        <v>1025</v>
      </c>
      <c r="R112" s="8" t="s">
        <v>1028</v>
      </c>
      <c r="S112" s="8">
        <v>1011</v>
      </c>
      <c r="T112" s="8">
        <v>17</v>
      </c>
      <c r="U112" s="8">
        <v>8445.58</v>
      </c>
      <c r="V112" s="8">
        <v>1.7</v>
      </c>
      <c r="W112" s="8">
        <v>4</v>
      </c>
      <c r="X112" s="8">
        <v>0</v>
      </c>
      <c r="Y112" s="20" t="str">
        <f t="shared" si="6"/>
        <v>Normal</v>
      </c>
      <c r="Z112" s="20">
        <f t="shared" si="7"/>
        <v>-0.74243769223328704</v>
      </c>
      <c r="AA112" s="20">
        <f t="shared" si="8"/>
        <v>3.769935841883195</v>
      </c>
      <c r="AB112" s="20">
        <f t="shared" si="9"/>
        <v>-0.15045270830250482</v>
      </c>
      <c r="AC112" s="20">
        <f t="shared" si="10"/>
        <v>0.27586620802994133</v>
      </c>
      <c r="AD112" s="20"/>
    </row>
    <row r="113" spans="1:30" x14ac:dyDescent="0.45">
      <c r="A113" s="8" t="s">
        <v>115</v>
      </c>
      <c r="B113" s="8" t="s">
        <v>615</v>
      </c>
      <c r="C113" s="8">
        <v>39.5</v>
      </c>
      <c r="D113" s="8" t="s">
        <v>1010</v>
      </c>
      <c r="E113" s="8" t="s">
        <v>1013</v>
      </c>
      <c r="F113" s="8" t="s">
        <v>1016</v>
      </c>
      <c r="G113" s="8" t="s">
        <v>1023</v>
      </c>
      <c r="H113" s="8">
        <v>109019.26</v>
      </c>
      <c r="I113" s="8">
        <v>751</v>
      </c>
      <c r="J113" s="8">
        <v>0</v>
      </c>
      <c r="K113" s="8">
        <v>0</v>
      </c>
      <c r="L113" s="8">
        <v>456.96</v>
      </c>
      <c r="M113" s="8">
        <v>1280.99</v>
      </c>
      <c r="N113" s="8">
        <v>82482.25</v>
      </c>
      <c r="O113" s="8" t="str">
        <f t="shared" si="11"/>
        <v>Fraud</v>
      </c>
      <c r="P113" s="8">
        <v>1</v>
      </c>
      <c r="Q113" s="8" t="s">
        <v>1025</v>
      </c>
      <c r="R113" s="8" t="s">
        <v>1029</v>
      </c>
      <c r="S113" s="8">
        <v>697</v>
      </c>
      <c r="T113" s="8">
        <v>293</v>
      </c>
      <c r="U113" s="8">
        <v>1429.99</v>
      </c>
      <c r="V113" s="8">
        <v>3.2</v>
      </c>
      <c r="W113" s="8">
        <v>6.1</v>
      </c>
      <c r="X113" s="8">
        <v>442.41</v>
      </c>
      <c r="Y113" s="20" t="str">
        <f t="shared" si="6"/>
        <v>Normal</v>
      </c>
      <c r="Z113" s="20">
        <f t="shared" si="7"/>
        <v>-0.7384339571777746</v>
      </c>
      <c r="AA113" s="20">
        <f t="shared" si="8"/>
        <v>-0.92866391393725789</v>
      </c>
      <c r="AB113" s="20">
        <f t="shared" si="9"/>
        <v>1.1550757133676171</v>
      </c>
      <c r="AC113" s="20">
        <f t="shared" si="10"/>
        <v>0.77691341735524877</v>
      </c>
      <c r="AD113" s="20"/>
    </row>
    <row r="114" spans="1:30" x14ac:dyDescent="0.45">
      <c r="A114" s="8" t="s">
        <v>329</v>
      </c>
      <c r="B114" s="8" t="s">
        <v>825</v>
      </c>
      <c r="C114" s="8">
        <v>69.2</v>
      </c>
      <c r="D114" s="8" t="s">
        <v>1010</v>
      </c>
      <c r="E114" s="8" t="s">
        <v>1015</v>
      </c>
      <c r="F114" s="8" t="s">
        <v>1016</v>
      </c>
      <c r="G114" s="8" t="s">
        <v>1022</v>
      </c>
      <c r="H114" s="8">
        <v>42787.27</v>
      </c>
      <c r="I114" s="8">
        <v>617</v>
      </c>
      <c r="J114" s="8">
        <v>0</v>
      </c>
      <c r="K114" s="8">
        <v>0</v>
      </c>
      <c r="L114" s="8">
        <v>458.77</v>
      </c>
      <c r="M114" s="8">
        <v>11153.68</v>
      </c>
      <c r="N114" s="8">
        <v>28037.51</v>
      </c>
      <c r="O114" s="8" t="str">
        <f t="shared" si="11"/>
        <v>Not Fraud</v>
      </c>
      <c r="P114" s="8">
        <v>0</v>
      </c>
      <c r="Q114" s="8" t="s">
        <v>1026</v>
      </c>
      <c r="R114" s="8" t="s">
        <v>1029</v>
      </c>
      <c r="S114" s="8">
        <v>297</v>
      </c>
      <c r="T114" s="8">
        <v>41</v>
      </c>
      <c r="U114" s="8">
        <v>3248.11</v>
      </c>
      <c r="V114" s="8">
        <v>2.9</v>
      </c>
      <c r="W114" s="8">
        <v>3.8</v>
      </c>
      <c r="X114" s="8">
        <v>0</v>
      </c>
      <c r="Y114" s="20" t="str">
        <f t="shared" si="6"/>
        <v>Normal</v>
      </c>
      <c r="Z114" s="20">
        <f t="shared" si="7"/>
        <v>-0.7375702193410073</v>
      </c>
      <c r="AA114" s="20">
        <f t="shared" si="8"/>
        <v>-0.43596301896925654</v>
      </c>
      <c r="AB114" s="20">
        <f t="shared" si="9"/>
        <v>-1.6691310410661242</v>
      </c>
      <c r="AC114" s="20">
        <f t="shared" si="10"/>
        <v>-2.0029416445122394</v>
      </c>
      <c r="AD114" s="20"/>
    </row>
    <row r="115" spans="1:30" x14ac:dyDescent="0.45">
      <c r="A115" s="8" t="s">
        <v>322</v>
      </c>
      <c r="B115" s="8" t="s">
        <v>818</v>
      </c>
      <c r="C115" s="8">
        <v>59.4</v>
      </c>
      <c r="D115" s="8" t="s">
        <v>1010</v>
      </c>
      <c r="E115" s="8" t="s">
        <v>1013</v>
      </c>
      <c r="F115" s="8" t="s">
        <v>1016</v>
      </c>
      <c r="G115" s="8" t="s">
        <v>1022</v>
      </c>
      <c r="H115" s="8">
        <v>128435.03</v>
      </c>
      <c r="I115" s="8">
        <v>624</v>
      </c>
      <c r="J115" s="8">
        <v>0</v>
      </c>
      <c r="K115" s="8">
        <v>0</v>
      </c>
      <c r="L115" s="8">
        <v>461.31</v>
      </c>
      <c r="M115" s="8">
        <v>2801.74</v>
      </c>
      <c r="N115" s="8">
        <v>87456.97</v>
      </c>
      <c r="O115" s="8" t="str">
        <f t="shared" si="11"/>
        <v>Not Fraud</v>
      </c>
      <c r="P115" s="8">
        <v>0</v>
      </c>
      <c r="Q115" s="8" t="s">
        <v>1025</v>
      </c>
      <c r="R115" s="8" t="s">
        <v>1030</v>
      </c>
      <c r="S115" s="8">
        <v>2075</v>
      </c>
      <c r="T115" s="8">
        <v>151</v>
      </c>
      <c r="U115" s="8">
        <v>3147.96</v>
      </c>
      <c r="V115" s="8">
        <v>2.2999999999999998</v>
      </c>
      <c r="W115" s="8">
        <v>0.9</v>
      </c>
      <c r="X115" s="8">
        <v>0</v>
      </c>
      <c r="Y115" s="20" t="str">
        <f t="shared" si="6"/>
        <v>Normal</v>
      </c>
      <c r="Z115" s="20">
        <f t="shared" si="7"/>
        <v>-0.73635812315018478</v>
      </c>
      <c r="AA115" s="20">
        <f t="shared" si="8"/>
        <v>-0.85277022275252645</v>
      </c>
      <c r="AB115" s="20">
        <f t="shared" si="9"/>
        <v>1.4131288848111141</v>
      </c>
      <c r="AC115" s="20">
        <f t="shared" si="10"/>
        <v>1.5918221421958423</v>
      </c>
      <c r="AD115" s="20"/>
    </row>
    <row r="116" spans="1:30" x14ac:dyDescent="0.45">
      <c r="A116" s="8" t="s">
        <v>519</v>
      </c>
      <c r="B116" s="8" t="s">
        <v>1005</v>
      </c>
      <c r="C116" s="8">
        <v>34.4</v>
      </c>
      <c r="D116" s="8" t="s">
        <v>1009</v>
      </c>
      <c r="E116" s="8" t="s">
        <v>1012</v>
      </c>
      <c r="F116" s="8" t="s">
        <v>1019</v>
      </c>
      <c r="G116" s="8" t="s">
        <v>1021</v>
      </c>
      <c r="H116" s="8">
        <v>40724.82</v>
      </c>
      <c r="I116" s="8">
        <v>823</v>
      </c>
      <c r="J116" s="8">
        <v>0</v>
      </c>
      <c r="K116" s="8">
        <v>0</v>
      </c>
      <c r="L116" s="8">
        <v>465.15</v>
      </c>
      <c r="M116" s="8">
        <v>10804.91</v>
      </c>
      <c r="N116" s="8">
        <v>40724.82</v>
      </c>
      <c r="O116" s="8" t="str">
        <f t="shared" si="11"/>
        <v>Not Fraud</v>
      </c>
      <c r="P116" s="8">
        <v>0</v>
      </c>
      <c r="Q116" s="8" t="s">
        <v>1025</v>
      </c>
      <c r="R116" s="8" t="s">
        <v>1030</v>
      </c>
      <c r="S116" s="8">
        <v>900</v>
      </c>
      <c r="T116" s="8">
        <v>227</v>
      </c>
      <c r="U116" s="8">
        <v>6794.79</v>
      </c>
      <c r="V116" s="8">
        <v>1.2</v>
      </c>
      <c r="W116" s="8">
        <v>1.2</v>
      </c>
      <c r="X116" s="8">
        <v>0</v>
      </c>
      <c r="Y116" s="20" t="str">
        <f t="shared" si="6"/>
        <v>Normal</v>
      </c>
      <c r="Z116" s="20">
        <f t="shared" si="7"/>
        <v>-0.73452566276720888</v>
      </c>
      <c r="AA116" s="20">
        <f t="shared" si="8"/>
        <v>-0.45336853774255848</v>
      </c>
      <c r="AB116" s="20">
        <f t="shared" si="9"/>
        <v>-1.011003431354061</v>
      </c>
      <c r="AC116" s="20">
        <f t="shared" si="10"/>
        <v>-2.0895057364615921</v>
      </c>
      <c r="AD116" s="20"/>
    </row>
    <row r="117" spans="1:30" x14ac:dyDescent="0.45">
      <c r="A117" s="8" t="s">
        <v>433</v>
      </c>
      <c r="B117" s="8" t="s">
        <v>923</v>
      </c>
      <c r="C117" s="8">
        <v>60.7</v>
      </c>
      <c r="D117" s="8" t="s">
        <v>1010</v>
      </c>
      <c r="E117" s="8" t="s">
        <v>1014</v>
      </c>
      <c r="F117" s="8" t="s">
        <v>1019</v>
      </c>
      <c r="G117" s="8" t="s">
        <v>1022</v>
      </c>
      <c r="H117" s="8">
        <v>72919.520000000004</v>
      </c>
      <c r="I117" s="8">
        <v>553</v>
      </c>
      <c r="J117" s="8">
        <v>0</v>
      </c>
      <c r="K117" s="8">
        <v>1</v>
      </c>
      <c r="L117" s="8">
        <v>469.69</v>
      </c>
      <c r="M117" s="8">
        <v>2978.62</v>
      </c>
      <c r="N117" s="8">
        <v>43391.11</v>
      </c>
      <c r="O117" s="8" t="str">
        <f t="shared" si="11"/>
        <v>Not Fraud</v>
      </c>
      <c r="P117" s="8">
        <v>0</v>
      </c>
      <c r="Q117" s="8" t="s">
        <v>1024</v>
      </c>
      <c r="R117" s="8" t="s">
        <v>1030</v>
      </c>
      <c r="S117" s="8">
        <v>1275</v>
      </c>
      <c r="T117" s="8">
        <v>17</v>
      </c>
      <c r="U117" s="8">
        <v>7774.27</v>
      </c>
      <c r="V117" s="8">
        <v>5.8</v>
      </c>
      <c r="W117" s="8">
        <v>5.5</v>
      </c>
      <c r="X117" s="8">
        <v>0</v>
      </c>
      <c r="Y117" s="20" t="str">
        <f t="shared" si="6"/>
        <v>Normal</v>
      </c>
      <c r="Z117" s="20">
        <f t="shared" si="7"/>
        <v>-0.73235916012691959</v>
      </c>
      <c r="AA117" s="20">
        <f t="shared" si="8"/>
        <v>-0.84394294930405989</v>
      </c>
      <c r="AB117" s="20">
        <f t="shared" si="9"/>
        <v>-0.87269522697510471</v>
      </c>
      <c r="AC117" s="20">
        <f t="shared" si="10"/>
        <v>-0.73824632601197027</v>
      </c>
      <c r="AD117" s="20"/>
    </row>
    <row r="118" spans="1:30" x14ac:dyDescent="0.45">
      <c r="A118" s="8" t="s">
        <v>416</v>
      </c>
      <c r="B118" s="8" t="s">
        <v>906</v>
      </c>
      <c r="C118" s="8">
        <v>77.5</v>
      </c>
      <c r="D118" s="8" t="s">
        <v>1009</v>
      </c>
      <c r="E118" s="8" t="s">
        <v>1014</v>
      </c>
      <c r="F118" s="8" t="s">
        <v>1016</v>
      </c>
      <c r="G118" s="8" t="s">
        <v>1021</v>
      </c>
      <c r="H118" s="8">
        <v>63401.66</v>
      </c>
      <c r="I118" s="8">
        <v>661</v>
      </c>
      <c r="J118" s="8">
        <v>1</v>
      </c>
      <c r="K118" s="8">
        <v>0</v>
      </c>
      <c r="L118" s="8">
        <v>471.74</v>
      </c>
      <c r="M118" s="8">
        <v>5721.45</v>
      </c>
      <c r="N118" s="8">
        <v>37024.120000000003</v>
      </c>
      <c r="O118" s="8" t="str">
        <f t="shared" si="11"/>
        <v>Fraud</v>
      </c>
      <c r="P118" s="8">
        <v>1</v>
      </c>
      <c r="Q118" s="8" t="s">
        <v>1026</v>
      </c>
      <c r="R118" s="8" t="s">
        <v>1030</v>
      </c>
      <c r="S118" s="8">
        <v>1211</v>
      </c>
      <c r="T118" s="8">
        <v>127</v>
      </c>
      <c r="U118" s="8">
        <v>7232.2</v>
      </c>
      <c r="V118" s="8">
        <v>3.9</v>
      </c>
      <c r="W118" s="8">
        <v>2.2999999999999998</v>
      </c>
      <c r="X118" s="8">
        <v>335.52</v>
      </c>
      <c r="Y118" s="20" t="str">
        <f t="shared" si="6"/>
        <v>Normal</v>
      </c>
      <c r="Z118" s="20">
        <f t="shared" si="7"/>
        <v>-0.73138089351621638</v>
      </c>
      <c r="AA118" s="20">
        <f t="shared" si="8"/>
        <v>-0.70706082338446918</v>
      </c>
      <c r="AB118" s="20">
        <f t="shared" si="9"/>
        <v>-1.2029694860387365</v>
      </c>
      <c r="AC118" s="20">
        <f t="shared" si="10"/>
        <v>-1.137725056745353</v>
      </c>
      <c r="AD118" s="20"/>
    </row>
    <row r="119" spans="1:30" x14ac:dyDescent="0.45">
      <c r="A119" s="8" t="s">
        <v>105</v>
      </c>
      <c r="B119" s="8" t="s">
        <v>605</v>
      </c>
      <c r="C119" s="8">
        <v>72.2</v>
      </c>
      <c r="D119" s="8" t="s">
        <v>1010</v>
      </c>
      <c r="E119" s="8" t="s">
        <v>1011</v>
      </c>
      <c r="F119" s="8" t="s">
        <v>1018</v>
      </c>
      <c r="G119" s="8" t="s">
        <v>1020</v>
      </c>
      <c r="H119" s="8">
        <v>74603.94</v>
      </c>
      <c r="I119" s="8">
        <v>678</v>
      </c>
      <c r="J119" s="8">
        <v>0</v>
      </c>
      <c r="K119" s="8">
        <v>0</v>
      </c>
      <c r="L119" s="8">
        <v>473.38</v>
      </c>
      <c r="M119" s="8">
        <v>4520.3</v>
      </c>
      <c r="N119" s="8">
        <v>56053.23</v>
      </c>
      <c r="O119" s="8" t="str">
        <f t="shared" si="11"/>
        <v>Fraud</v>
      </c>
      <c r="P119" s="8">
        <v>1</v>
      </c>
      <c r="Q119" s="8" t="s">
        <v>1024</v>
      </c>
      <c r="R119" s="8" t="s">
        <v>1026</v>
      </c>
      <c r="S119" s="8">
        <v>1128</v>
      </c>
      <c r="T119" s="8">
        <v>141</v>
      </c>
      <c r="U119" s="8">
        <v>4800.3999999999996</v>
      </c>
      <c r="V119" s="8">
        <v>7.8</v>
      </c>
      <c r="W119" s="8">
        <v>2.7</v>
      </c>
      <c r="X119" s="8">
        <v>378.21</v>
      </c>
      <c r="Y119" s="20" t="str">
        <f t="shared" si="6"/>
        <v>Normal</v>
      </c>
      <c r="Z119" s="20">
        <f t="shared" si="7"/>
        <v>-0.73059828022765383</v>
      </c>
      <c r="AA119" s="20">
        <f t="shared" si="8"/>
        <v>-0.76700473735227492</v>
      </c>
      <c r="AB119" s="20">
        <f t="shared" si="9"/>
        <v>-0.21587429570698644</v>
      </c>
      <c r="AC119" s="20">
        <f t="shared" si="10"/>
        <v>-0.66754871503409041</v>
      </c>
      <c r="AD119" s="20"/>
    </row>
    <row r="120" spans="1:30" x14ac:dyDescent="0.45">
      <c r="A120" s="8" t="s">
        <v>24</v>
      </c>
      <c r="B120" s="8" t="s">
        <v>524</v>
      </c>
      <c r="C120" s="8">
        <v>47.9</v>
      </c>
      <c r="D120" s="8" t="s">
        <v>1009</v>
      </c>
      <c r="E120" s="8" t="s">
        <v>1012</v>
      </c>
      <c r="F120" s="8" t="s">
        <v>1016</v>
      </c>
      <c r="G120" s="8" t="s">
        <v>1021</v>
      </c>
      <c r="H120" s="8">
        <v>84225.79</v>
      </c>
      <c r="I120" s="8">
        <v>610</v>
      </c>
      <c r="J120" s="8">
        <v>0</v>
      </c>
      <c r="K120" s="8">
        <v>1</v>
      </c>
      <c r="L120" s="8">
        <v>475.07</v>
      </c>
      <c r="M120" s="8">
        <v>32492.240000000002</v>
      </c>
      <c r="N120" s="8">
        <v>65603.22</v>
      </c>
      <c r="O120" s="8" t="str">
        <f t="shared" si="11"/>
        <v>Fraud</v>
      </c>
      <c r="P120" s="8">
        <v>1</v>
      </c>
      <c r="Q120" s="8" t="s">
        <v>1025</v>
      </c>
      <c r="R120" s="8" t="s">
        <v>1029</v>
      </c>
      <c r="S120" s="8">
        <v>2431</v>
      </c>
      <c r="T120" s="8">
        <v>38</v>
      </c>
      <c r="U120" s="8">
        <v>1464.22</v>
      </c>
      <c r="V120" s="8">
        <v>3</v>
      </c>
      <c r="W120" s="8">
        <v>4.9000000000000004</v>
      </c>
      <c r="X120" s="8">
        <v>372.4</v>
      </c>
      <c r="Y120" s="20" t="str">
        <f t="shared" si="6"/>
        <v>Normal</v>
      </c>
      <c r="Z120" s="20">
        <f t="shared" si="7"/>
        <v>-0.72979180677785449</v>
      </c>
      <c r="AA120" s="20">
        <f t="shared" si="8"/>
        <v>0.62894711285179683</v>
      </c>
      <c r="AB120" s="20">
        <f t="shared" si="9"/>
        <v>0.27951141580113498</v>
      </c>
      <c r="AC120" s="20">
        <f t="shared" si="10"/>
        <v>-0.26370536943886264</v>
      </c>
      <c r="AD120" s="20"/>
    </row>
    <row r="121" spans="1:30" x14ac:dyDescent="0.45">
      <c r="A121" s="8" t="s">
        <v>81</v>
      </c>
      <c r="B121" s="8" t="s">
        <v>581</v>
      </c>
      <c r="C121" s="8">
        <v>55</v>
      </c>
      <c r="D121" s="8" t="s">
        <v>1009</v>
      </c>
      <c r="E121" s="8" t="s">
        <v>1012</v>
      </c>
      <c r="F121" s="8" t="s">
        <v>1019</v>
      </c>
      <c r="G121" s="8" t="s">
        <v>1020</v>
      </c>
      <c r="H121" s="8">
        <v>75998.600000000006</v>
      </c>
      <c r="I121" s="8">
        <v>701</v>
      </c>
      <c r="J121" s="8">
        <v>1</v>
      </c>
      <c r="K121" s="8">
        <v>0</v>
      </c>
      <c r="L121" s="8">
        <v>475.26</v>
      </c>
      <c r="M121" s="8">
        <v>32167.11</v>
      </c>
      <c r="N121" s="8">
        <v>65382.54</v>
      </c>
      <c r="O121" s="8" t="str">
        <f t="shared" si="11"/>
        <v>Fraud</v>
      </c>
      <c r="P121" s="8">
        <v>1</v>
      </c>
      <c r="Q121" s="8" t="s">
        <v>1024</v>
      </c>
      <c r="R121" s="8" t="s">
        <v>1030</v>
      </c>
      <c r="S121" s="8">
        <v>328</v>
      </c>
      <c r="T121" s="8">
        <v>114</v>
      </c>
      <c r="U121" s="8">
        <v>7398.82</v>
      </c>
      <c r="V121" s="8">
        <v>5.3</v>
      </c>
      <c r="W121" s="8">
        <v>9.6999999999999993</v>
      </c>
      <c r="X121" s="8">
        <v>398.13</v>
      </c>
      <c r="Y121" s="20" t="str">
        <f t="shared" si="6"/>
        <v>Normal</v>
      </c>
      <c r="Z121" s="20">
        <f t="shared" si="7"/>
        <v>-0.72970113816515514</v>
      </c>
      <c r="AA121" s="20">
        <f t="shared" si="8"/>
        <v>0.61272135857601717</v>
      </c>
      <c r="AB121" s="20">
        <f t="shared" si="9"/>
        <v>0.26806410341487985</v>
      </c>
      <c r="AC121" s="20">
        <f t="shared" si="10"/>
        <v>-0.60901276193070153</v>
      </c>
      <c r="AD121" s="20"/>
    </row>
    <row r="122" spans="1:30" x14ac:dyDescent="0.45">
      <c r="A122" s="8" t="s">
        <v>172</v>
      </c>
      <c r="B122" s="8" t="s">
        <v>670</v>
      </c>
      <c r="C122" s="8">
        <v>54.5</v>
      </c>
      <c r="D122" s="8" t="s">
        <v>1009</v>
      </c>
      <c r="E122" s="8" t="s">
        <v>1013</v>
      </c>
      <c r="F122" s="8" t="s">
        <v>1019</v>
      </c>
      <c r="G122" s="8" t="s">
        <v>1023</v>
      </c>
      <c r="H122" s="8">
        <v>86329.11</v>
      </c>
      <c r="I122" s="8">
        <v>571</v>
      </c>
      <c r="J122" s="8">
        <v>0</v>
      </c>
      <c r="K122" s="8">
        <v>1</v>
      </c>
      <c r="L122" s="8">
        <v>476.72</v>
      </c>
      <c r="M122" s="8">
        <v>30504.31</v>
      </c>
      <c r="N122" s="8">
        <v>70109.399999999994</v>
      </c>
      <c r="O122" s="8" t="str">
        <f t="shared" si="11"/>
        <v>Fraud</v>
      </c>
      <c r="P122" s="8">
        <v>1</v>
      </c>
      <c r="Q122" s="8" t="s">
        <v>1025</v>
      </c>
      <c r="R122" s="8" t="s">
        <v>1030</v>
      </c>
      <c r="S122" s="8">
        <v>3788</v>
      </c>
      <c r="T122" s="8">
        <v>226</v>
      </c>
      <c r="U122" s="8">
        <v>2305.77</v>
      </c>
      <c r="V122" s="8">
        <v>6.6</v>
      </c>
      <c r="W122" s="8">
        <v>6.3</v>
      </c>
      <c r="X122" s="8">
        <v>300.14999999999998</v>
      </c>
      <c r="Y122" s="20" t="str">
        <f t="shared" si="6"/>
        <v>Normal</v>
      </c>
      <c r="Z122" s="20">
        <f t="shared" si="7"/>
        <v>-0.72900442145704447</v>
      </c>
      <c r="AA122" s="20">
        <f t="shared" si="8"/>
        <v>0.52973860026467634</v>
      </c>
      <c r="AB122" s="20">
        <f t="shared" si="9"/>
        <v>0.5132600569498339</v>
      </c>
      <c r="AC122" s="20">
        <f t="shared" si="10"/>
        <v>-0.17542590284383591</v>
      </c>
      <c r="AD122" s="20"/>
    </row>
    <row r="123" spans="1:30" x14ac:dyDescent="0.45">
      <c r="A123" s="8" t="s">
        <v>494</v>
      </c>
      <c r="B123" s="8" t="s">
        <v>983</v>
      </c>
      <c r="C123" s="8">
        <v>18</v>
      </c>
      <c r="D123" s="8" t="s">
        <v>1010</v>
      </c>
      <c r="E123" s="8" t="s">
        <v>1014</v>
      </c>
      <c r="F123" s="8" t="s">
        <v>1016</v>
      </c>
      <c r="G123" s="8" t="s">
        <v>1022</v>
      </c>
      <c r="H123" s="8">
        <v>87527.07</v>
      </c>
      <c r="I123" s="8">
        <v>637</v>
      </c>
      <c r="J123" s="8">
        <v>1</v>
      </c>
      <c r="K123" s="8">
        <v>0</v>
      </c>
      <c r="L123" s="8">
        <v>485.32</v>
      </c>
      <c r="M123" s="8">
        <v>89909.36</v>
      </c>
      <c r="N123" s="8">
        <v>65225.01</v>
      </c>
      <c r="O123" s="8" t="str">
        <f t="shared" si="11"/>
        <v>Not Fraud</v>
      </c>
      <c r="P123" s="8">
        <v>0</v>
      </c>
      <c r="Q123" s="8" t="s">
        <v>1027</v>
      </c>
      <c r="R123" s="8" t="s">
        <v>1026</v>
      </c>
      <c r="S123" s="8">
        <v>1784</v>
      </c>
      <c r="T123" s="8">
        <v>178</v>
      </c>
      <c r="U123" s="8">
        <v>4098.16</v>
      </c>
      <c r="V123" s="8">
        <v>5.5</v>
      </c>
      <c r="W123" s="8">
        <v>8.1999999999999993</v>
      </c>
      <c r="X123" s="8">
        <v>0</v>
      </c>
      <c r="Y123" s="20" t="str">
        <f t="shared" si="6"/>
        <v>Normal</v>
      </c>
      <c r="Z123" s="20">
        <f t="shared" si="7"/>
        <v>-0.72490047372433819</v>
      </c>
      <c r="AA123" s="20">
        <f t="shared" si="8"/>
        <v>3.4943734971994398</v>
      </c>
      <c r="AB123" s="20">
        <f t="shared" si="9"/>
        <v>0.25989256489663287</v>
      </c>
      <c r="AC123" s="20">
        <f t="shared" si="10"/>
        <v>-0.1251457410985102</v>
      </c>
      <c r="AD123" s="20"/>
    </row>
    <row r="124" spans="1:30" x14ac:dyDescent="0.45">
      <c r="A124" s="8" t="s">
        <v>143</v>
      </c>
      <c r="B124" s="8" t="s">
        <v>641</v>
      </c>
      <c r="C124" s="8">
        <v>61.9</v>
      </c>
      <c r="D124" s="8" t="s">
        <v>1009</v>
      </c>
      <c r="E124" s="8" t="s">
        <v>1012</v>
      </c>
      <c r="F124" s="8" t="s">
        <v>1019</v>
      </c>
      <c r="G124" s="8" t="s">
        <v>1020</v>
      </c>
      <c r="H124" s="8">
        <v>35850.449999999997</v>
      </c>
      <c r="I124" s="8">
        <v>695</v>
      </c>
      <c r="J124" s="8">
        <v>1</v>
      </c>
      <c r="K124" s="8">
        <v>0</v>
      </c>
      <c r="L124" s="8">
        <v>498.13</v>
      </c>
      <c r="M124" s="8">
        <v>9629.85</v>
      </c>
      <c r="N124" s="8">
        <v>22127.71</v>
      </c>
      <c r="O124" s="8" t="str">
        <f t="shared" si="11"/>
        <v>Fraud</v>
      </c>
      <c r="P124" s="8">
        <v>1</v>
      </c>
      <c r="Q124" s="8" t="s">
        <v>1024</v>
      </c>
      <c r="R124" s="8" t="s">
        <v>1030</v>
      </c>
      <c r="S124" s="8">
        <v>4521</v>
      </c>
      <c r="T124" s="8">
        <v>257</v>
      </c>
      <c r="U124" s="8">
        <v>4453.1099999999997</v>
      </c>
      <c r="V124" s="8">
        <v>6.5</v>
      </c>
      <c r="W124" s="8">
        <v>5.0999999999999996</v>
      </c>
      <c r="X124" s="8">
        <v>471.42</v>
      </c>
      <c r="Y124" s="20" t="str">
        <f t="shared" si="6"/>
        <v>Normal</v>
      </c>
      <c r="Z124" s="20">
        <f t="shared" si="7"/>
        <v>-0.71878750041550454</v>
      </c>
      <c r="AA124" s="20">
        <f t="shared" si="8"/>
        <v>-0.51201041889562815</v>
      </c>
      <c r="AB124" s="20">
        <f t="shared" si="9"/>
        <v>-1.9756895272918371</v>
      </c>
      <c r="AC124" s="20">
        <f t="shared" si="10"/>
        <v>-2.2940902902084299</v>
      </c>
      <c r="AD124" s="20"/>
    </row>
    <row r="125" spans="1:30" x14ac:dyDescent="0.45">
      <c r="A125" s="8" t="s">
        <v>102</v>
      </c>
      <c r="B125" s="8" t="s">
        <v>602</v>
      </c>
      <c r="C125" s="8">
        <v>20.2</v>
      </c>
      <c r="D125" s="8" t="s">
        <v>1009</v>
      </c>
      <c r="E125" s="8" t="s">
        <v>1014</v>
      </c>
      <c r="F125" s="8" t="s">
        <v>1019</v>
      </c>
      <c r="G125" s="8" t="s">
        <v>1022</v>
      </c>
      <c r="H125" s="8">
        <v>84339.38</v>
      </c>
      <c r="I125" s="8">
        <v>565</v>
      </c>
      <c r="J125" s="8">
        <v>0</v>
      </c>
      <c r="K125" s="8">
        <v>0</v>
      </c>
      <c r="L125" s="8">
        <v>530.59</v>
      </c>
      <c r="M125" s="8">
        <v>11661.97</v>
      </c>
      <c r="N125" s="8">
        <v>72904.31</v>
      </c>
      <c r="O125" s="8" t="str">
        <f t="shared" si="11"/>
        <v>Not Fraud</v>
      </c>
      <c r="P125" s="8">
        <v>0</v>
      </c>
      <c r="Q125" s="8" t="s">
        <v>1027</v>
      </c>
      <c r="R125" s="8" t="s">
        <v>1030</v>
      </c>
      <c r="S125" s="8">
        <v>1896</v>
      </c>
      <c r="T125" s="8">
        <v>218</v>
      </c>
      <c r="U125" s="8">
        <v>7959.91</v>
      </c>
      <c r="V125" s="8">
        <v>3.6</v>
      </c>
      <c r="W125" s="8">
        <v>5</v>
      </c>
      <c r="X125" s="8">
        <v>0</v>
      </c>
      <c r="Y125" s="20" t="str">
        <f t="shared" si="6"/>
        <v>Normal</v>
      </c>
      <c r="Z125" s="20">
        <f t="shared" si="7"/>
        <v>-0.70329748374066159</v>
      </c>
      <c r="AA125" s="20">
        <f t="shared" si="8"/>
        <v>-0.41059658510945896</v>
      </c>
      <c r="AB125" s="20">
        <f t="shared" si="9"/>
        <v>0.65824015420136672</v>
      </c>
      <c r="AC125" s="20">
        <f t="shared" si="10"/>
        <v>-0.25893782830839746</v>
      </c>
      <c r="AD125" s="20"/>
    </row>
    <row r="126" spans="1:30" x14ac:dyDescent="0.45">
      <c r="A126" s="8" t="s">
        <v>268</v>
      </c>
      <c r="B126" s="8" t="s">
        <v>765</v>
      </c>
      <c r="C126" s="8">
        <v>45</v>
      </c>
      <c r="D126" s="8" t="s">
        <v>1009</v>
      </c>
      <c r="E126" s="8" t="s">
        <v>1013</v>
      </c>
      <c r="F126" s="8" t="s">
        <v>1019</v>
      </c>
      <c r="G126" s="8" t="s">
        <v>1021</v>
      </c>
      <c r="H126" s="8">
        <v>97171.32</v>
      </c>
      <c r="I126" s="8">
        <v>617</v>
      </c>
      <c r="J126" s="8">
        <v>1</v>
      </c>
      <c r="K126" s="8">
        <v>1</v>
      </c>
      <c r="L126" s="8">
        <v>532.34</v>
      </c>
      <c r="M126" s="8">
        <v>7317.64</v>
      </c>
      <c r="N126" s="8">
        <v>74363.710000000006</v>
      </c>
      <c r="O126" s="8" t="str">
        <f t="shared" si="11"/>
        <v>Not Fraud</v>
      </c>
      <c r="P126" s="8">
        <v>0</v>
      </c>
      <c r="Q126" s="8" t="s">
        <v>1027</v>
      </c>
      <c r="R126" s="8" t="s">
        <v>1026</v>
      </c>
      <c r="S126" s="8">
        <v>3418</v>
      </c>
      <c r="T126" s="8">
        <v>23</v>
      </c>
      <c r="U126" s="8">
        <v>7767.1</v>
      </c>
      <c r="V126" s="8">
        <v>4.3</v>
      </c>
      <c r="W126" s="8">
        <v>6.8</v>
      </c>
      <c r="X126" s="8">
        <v>0</v>
      </c>
      <c r="Y126" s="20" t="str">
        <f t="shared" si="6"/>
        <v>Normal</v>
      </c>
      <c r="Z126" s="20">
        <f t="shared" si="7"/>
        <v>-0.70246237809737833</v>
      </c>
      <c r="AA126" s="20">
        <f t="shared" si="8"/>
        <v>-0.62740226613827055</v>
      </c>
      <c r="AB126" s="20">
        <f t="shared" si="9"/>
        <v>0.7339434698461953</v>
      </c>
      <c r="AC126" s="20">
        <f t="shared" si="10"/>
        <v>0.27963776579016286</v>
      </c>
      <c r="AD126" s="20"/>
    </row>
    <row r="127" spans="1:30" x14ac:dyDescent="0.45">
      <c r="A127" s="8" t="s">
        <v>176</v>
      </c>
      <c r="B127" s="8" t="s">
        <v>674</v>
      </c>
      <c r="C127" s="8">
        <v>53.5</v>
      </c>
      <c r="D127" s="8" t="s">
        <v>1009</v>
      </c>
      <c r="E127" s="8" t="s">
        <v>1011</v>
      </c>
      <c r="F127" s="8" t="s">
        <v>1016</v>
      </c>
      <c r="G127" s="8" t="s">
        <v>1022</v>
      </c>
      <c r="H127" s="8">
        <v>93597.54</v>
      </c>
      <c r="I127" s="8">
        <v>664</v>
      </c>
      <c r="J127" s="8">
        <v>0</v>
      </c>
      <c r="K127" s="8">
        <v>0</v>
      </c>
      <c r="L127" s="8">
        <v>534</v>
      </c>
      <c r="M127" s="8">
        <v>35512.54</v>
      </c>
      <c r="N127" s="8">
        <v>49820.73</v>
      </c>
      <c r="O127" s="8" t="str">
        <f t="shared" si="11"/>
        <v>Not Fraud</v>
      </c>
      <c r="P127" s="8">
        <v>0</v>
      </c>
      <c r="Q127" s="8" t="s">
        <v>1025</v>
      </c>
      <c r="R127" s="8" t="s">
        <v>1029</v>
      </c>
      <c r="S127" s="8">
        <v>3768</v>
      </c>
      <c r="T127" s="8">
        <v>201</v>
      </c>
      <c r="U127" s="8">
        <v>4379.1000000000004</v>
      </c>
      <c r="V127" s="8">
        <v>0.8</v>
      </c>
      <c r="W127" s="8">
        <v>3.5</v>
      </c>
      <c r="X127" s="8">
        <v>0</v>
      </c>
      <c r="Y127" s="20" t="str">
        <f t="shared" si="6"/>
        <v>Normal</v>
      </c>
      <c r="Z127" s="20">
        <f t="shared" si="7"/>
        <v>-0.70167022074432095</v>
      </c>
      <c r="AA127" s="20">
        <f t="shared" si="8"/>
        <v>0.77967649998659538</v>
      </c>
      <c r="AB127" s="20">
        <f t="shared" si="9"/>
        <v>-0.5391721679533833</v>
      </c>
      <c r="AC127" s="20">
        <f t="shared" si="10"/>
        <v>0.12964090742910755</v>
      </c>
      <c r="AD127" s="20"/>
    </row>
    <row r="128" spans="1:30" x14ac:dyDescent="0.45">
      <c r="A128" s="8" t="s">
        <v>270</v>
      </c>
      <c r="B128" s="8" t="s">
        <v>767</v>
      </c>
      <c r="C128" s="8">
        <v>40.200000000000003</v>
      </c>
      <c r="D128" s="8" t="s">
        <v>1009</v>
      </c>
      <c r="E128" s="8" t="s">
        <v>1014</v>
      </c>
      <c r="F128" s="8" t="s">
        <v>1019</v>
      </c>
      <c r="G128" s="8" t="s">
        <v>1022</v>
      </c>
      <c r="H128" s="8">
        <v>97340.11</v>
      </c>
      <c r="I128" s="8">
        <v>647</v>
      </c>
      <c r="J128" s="8">
        <v>0</v>
      </c>
      <c r="K128" s="8">
        <v>0</v>
      </c>
      <c r="L128" s="8">
        <v>537.54</v>
      </c>
      <c r="M128" s="8">
        <v>17734.23</v>
      </c>
      <c r="N128" s="8">
        <v>60392.33</v>
      </c>
      <c r="O128" s="8" t="str">
        <f t="shared" si="11"/>
        <v>Not Fraud</v>
      </c>
      <c r="P128" s="8">
        <v>0</v>
      </c>
      <c r="Q128" s="8" t="s">
        <v>1026</v>
      </c>
      <c r="R128" s="8" t="s">
        <v>1028</v>
      </c>
      <c r="S128" s="8">
        <v>2739</v>
      </c>
      <c r="T128" s="8">
        <v>254</v>
      </c>
      <c r="U128" s="8">
        <v>3294.46</v>
      </c>
      <c r="V128" s="8">
        <v>2.7</v>
      </c>
      <c r="W128" s="8">
        <v>3.9</v>
      </c>
      <c r="X128" s="8">
        <v>0</v>
      </c>
      <c r="Y128" s="20" t="str">
        <f t="shared" si="6"/>
        <v>Normal</v>
      </c>
      <c r="Z128" s="20">
        <f t="shared" si="7"/>
        <v>-0.6999809213287651</v>
      </c>
      <c r="AA128" s="20">
        <f t="shared" si="8"/>
        <v>-0.10755780474884845</v>
      </c>
      <c r="AB128" s="20">
        <f t="shared" si="9"/>
        <v>9.2074206932285744E-3</v>
      </c>
      <c r="AC128" s="20">
        <f t="shared" si="10"/>
        <v>0.286722132965188</v>
      </c>
      <c r="AD128" s="20"/>
    </row>
    <row r="129" spans="1:30" x14ac:dyDescent="0.45">
      <c r="A129" s="8" t="s">
        <v>80</v>
      </c>
      <c r="B129" s="8" t="s">
        <v>580</v>
      </c>
      <c r="C129" s="8">
        <v>45.4</v>
      </c>
      <c r="D129" s="8" t="s">
        <v>1009</v>
      </c>
      <c r="E129" s="8" t="s">
        <v>1012</v>
      </c>
      <c r="F129" s="8" t="s">
        <v>1017</v>
      </c>
      <c r="G129" s="8" t="s">
        <v>1022</v>
      </c>
      <c r="H129" s="8">
        <v>102888.84</v>
      </c>
      <c r="I129" s="8">
        <v>613</v>
      </c>
      <c r="J129" s="8">
        <v>0</v>
      </c>
      <c r="K129" s="8">
        <v>1</v>
      </c>
      <c r="L129" s="8">
        <v>539.62</v>
      </c>
      <c r="M129" s="8">
        <v>8711.36</v>
      </c>
      <c r="N129" s="8">
        <v>52167.03</v>
      </c>
      <c r="O129" s="8" t="str">
        <f t="shared" si="11"/>
        <v>Not Fraud</v>
      </c>
      <c r="P129" s="8">
        <v>0</v>
      </c>
      <c r="Q129" s="8" t="s">
        <v>1024</v>
      </c>
      <c r="R129" s="8" t="s">
        <v>1030</v>
      </c>
      <c r="S129" s="8">
        <v>1192</v>
      </c>
      <c r="T129" s="8">
        <v>199</v>
      </c>
      <c r="U129" s="8">
        <v>5559.7</v>
      </c>
      <c r="V129" s="8">
        <v>3</v>
      </c>
      <c r="W129" s="8">
        <v>6.2</v>
      </c>
      <c r="X129" s="8">
        <v>0</v>
      </c>
      <c r="Y129" s="20" t="str">
        <f t="shared" si="6"/>
        <v>Normal</v>
      </c>
      <c r="Z129" s="20">
        <f t="shared" si="7"/>
        <v>-0.6989883386213197</v>
      </c>
      <c r="AA129" s="20">
        <f t="shared" si="8"/>
        <v>-0.55784806243747531</v>
      </c>
      <c r="AB129" s="20">
        <f t="shared" si="9"/>
        <v>-0.41746277402611176</v>
      </c>
      <c r="AC129" s="20">
        <f t="shared" si="10"/>
        <v>0.51961057822307588</v>
      </c>
      <c r="AD129" s="20"/>
    </row>
    <row r="130" spans="1:30" x14ac:dyDescent="0.45">
      <c r="A130" s="8" t="s">
        <v>106</v>
      </c>
      <c r="B130" s="8" t="s">
        <v>606</v>
      </c>
      <c r="C130" s="8">
        <v>42.2</v>
      </c>
      <c r="D130" s="8" t="s">
        <v>1010</v>
      </c>
      <c r="E130" s="8" t="s">
        <v>1013</v>
      </c>
      <c r="F130" s="8" t="s">
        <v>1016</v>
      </c>
      <c r="G130" s="8" t="s">
        <v>1020</v>
      </c>
      <c r="H130" s="8">
        <v>87543.6</v>
      </c>
      <c r="I130" s="8">
        <v>604</v>
      </c>
      <c r="J130" s="8">
        <v>0</v>
      </c>
      <c r="K130" s="8">
        <v>0</v>
      </c>
      <c r="L130" s="8">
        <v>540.26</v>
      </c>
      <c r="M130" s="8">
        <v>9778.25</v>
      </c>
      <c r="N130" s="8">
        <v>56974.53</v>
      </c>
      <c r="O130" s="8" t="str">
        <f t="shared" si="11"/>
        <v>Not Fraud</v>
      </c>
      <c r="P130" s="8">
        <v>0</v>
      </c>
      <c r="Q130" s="8" t="s">
        <v>1024</v>
      </c>
      <c r="R130" s="8" t="s">
        <v>1028</v>
      </c>
      <c r="S130" s="8">
        <v>1764</v>
      </c>
      <c r="T130" s="8">
        <v>265</v>
      </c>
      <c r="U130" s="8">
        <v>168.38</v>
      </c>
      <c r="V130" s="8">
        <v>3</v>
      </c>
      <c r="W130" s="8">
        <v>3.8</v>
      </c>
      <c r="X130" s="8">
        <v>0</v>
      </c>
      <c r="Y130" s="20" t="str">
        <f t="shared" ref="Y130:Y193" si="12">IF(OR(L130&lt;$AF$10,L130&gt;$AF$11),"Outlier","Normal")</f>
        <v>Normal</v>
      </c>
      <c r="Z130" s="20">
        <f t="shared" ref="Z130:Z193" si="13">(L130-$AK$9)/$AM$9</f>
        <v>-0.69868292855749048</v>
      </c>
      <c r="AA130" s="20">
        <f t="shared" ref="AA130:AA193" si="14">(M130-$AK$6)/$AM$6</f>
        <v>-0.50460445225297546</v>
      </c>
      <c r="AB130" s="20">
        <f t="shared" ref="AB130:AB193" si="15">(N130-$AK$3)/$AM$3</f>
        <v>-0.16808378953761555</v>
      </c>
      <c r="AC130" s="20">
        <f t="shared" ref="AC130:AC193" si="16">(H130-$AK$4)/$AM$4</f>
        <v>-0.12445195242973148</v>
      </c>
      <c r="AD130" s="20"/>
    </row>
    <row r="131" spans="1:30" x14ac:dyDescent="0.45">
      <c r="A131" s="8" t="s">
        <v>299</v>
      </c>
      <c r="B131" s="8" t="s">
        <v>795</v>
      </c>
      <c r="C131" s="8">
        <v>53</v>
      </c>
      <c r="D131" s="8" t="s">
        <v>1010</v>
      </c>
      <c r="E131" s="8" t="s">
        <v>1012</v>
      </c>
      <c r="F131" s="8" t="s">
        <v>1016</v>
      </c>
      <c r="G131" s="8" t="s">
        <v>1021</v>
      </c>
      <c r="H131" s="8">
        <v>50136.92</v>
      </c>
      <c r="I131" s="8">
        <v>601</v>
      </c>
      <c r="J131" s="8">
        <v>1</v>
      </c>
      <c r="K131" s="8">
        <v>1</v>
      </c>
      <c r="L131" s="8">
        <v>544.5</v>
      </c>
      <c r="M131" s="8">
        <v>5255.39</v>
      </c>
      <c r="N131" s="8">
        <v>37770.839999999997</v>
      </c>
      <c r="O131" s="8" t="str">
        <f t="shared" ref="O131:O194" si="17">IF(P131=1, "Fraud", "Not Fraud")</f>
        <v>Not Fraud</v>
      </c>
      <c r="P131" s="8">
        <v>0</v>
      </c>
      <c r="Q131" s="8" t="s">
        <v>1025</v>
      </c>
      <c r="R131" s="8" t="s">
        <v>1026</v>
      </c>
      <c r="S131" s="8">
        <v>2356</v>
      </c>
      <c r="T131" s="8">
        <v>108</v>
      </c>
      <c r="U131" s="8">
        <v>7819.05</v>
      </c>
      <c r="V131" s="8">
        <v>4.5999999999999996</v>
      </c>
      <c r="W131" s="8">
        <v>5.7</v>
      </c>
      <c r="X131" s="8">
        <v>0</v>
      </c>
      <c r="Y131" s="20" t="str">
        <f t="shared" si="12"/>
        <v>Normal</v>
      </c>
      <c r="Z131" s="20">
        <f t="shared" si="13"/>
        <v>-0.69665958688462126</v>
      </c>
      <c r="AA131" s="20">
        <f t="shared" si="14"/>
        <v>-0.73031975069898913</v>
      </c>
      <c r="AB131" s="20">
        <f t="shared" si="15"/>
        <v>-1.1642349513955232</v>
      </c>
      <c r="AC131" s="20">
        <f t="shared" si="16"/>
        <v>-1.6944659101208315</v>
      </c>
      <c r="AD131" s="20"/>
    </row>
    <row r="132" spans="1:30" x14ac:dyDescent="0.45">
      <c r="A132" s="8" t="s">
        <v>304</v>
      </c>
      <c r="B132" s="8" t="s">
        <v>800</v>
      </c>
      <c r="C132" s="8">
        <v>59.9</v>
      </c>
      <c r="D132" s="8" t="s">
        <v>1009</v>
      </c>
      <c r="E132" s="8" t="s">
        <v>1013</v>
      </c>
      <c r="F132" s="8" t="s">
        <v>1019</v>
      </c>
      <c r="G132" s="8" t="s">
        <v>1022</v>
      </c>
      <c r="H132" s="8">
        <v>49191.05</v>
      </c>
      <c r="I132" s="8">
        <v>510</v>
      </c>
      <c r="J132" s="8">
        <v>0</v>
      </c>
      <c r="K132" s="8">
        <v>1</v>
      </c>
      <c r="L132" s="8">
        <v>545.84</v>
      </c>
      <c r="M132" s="8">
        <v>39195.769999999997</v>
      </c>
      <c r="N132" s="8">
        <v>39698.120000000003</v>
      </c>
      <c r="O132" s="8" t="str">
        <f t="shared" si="17"/>
        <v>Fraud</v>
      </c>
      <c r="P132" s="8">
        <v>1</v>
      </c>
      <c r="Q132" s="8" t="s">
        <v>1025</v>
      </c>
      <c r="R132" s="8" t="s">
        <v>1029</v>
      </c>
      <c r="S132" s="8">
        <v>3000</v>
      </c>
      <c r="T132" s="8">
        <v>274</v>
      </c>
      <c r="U132" s="8">
        <v>2930.11</v>
      </c>
      <c r="V132" s="8">
        <v>0.5</v>
      </c>
      <c r="W132" s="8">
        <v>6.2</v>
      </c>
      <c r="X132" s="8">
        <v>505.23</v>
      </c>
      <c r="Y132" s="20" t="str">
        <f t="shared" si="12"/>
        <v>Normal</v>
      </c>
      <c r="Z132" s="20">
        <f t="shared" si="13"/>
        <v>-0.69602013456347867</v>
      </c>
      <c r="AA132" s="20">
        <f t="shared" si="14"/>
        <v>0.96348969754197189</v>
      </c>
      <c r="AB132" s="20">
        <f t="shared" si="15"/>
        <v>-1.0642613415723321</v>
      </c>
      <c r="AC132" s="20">
        <f t="shared" si="16"/>
        <v>-1.734165479881133</v>
      </c>
      <c r="AD132" s="20"/>
    </row>
    <row r="133" spans="1:30" x14ac:dyDescent="0.45">
      <c r="A133" s="8" t="s">
        <v>173</v>
      </c>
      <c r="B133" s="8" t="s">
        <v>671</v>
      </c>
      <c r="C133" s="8">
        <v>53.8</v>
      </c>
      <c r="D133" s="8" t="s">
        <v>1010</v>
      </c>
      <c r="E133" s="8" t="s">
        <v>1014</v>
      </c>
      <c r="F133" s="8" t="s">
        <v>1019</v>
      </c>
      <c r="G133" s="8" t="s">
        <v>1023</v>
      </c>
      <c r="H133" s="8">
        <v>104943.7</v>
      </c>
      <c r="I133" s="8">
        <v>655</v>
      </c>
      <c r="J133" s="8">
        <v>1</v>
      </c>
      <c r="K133" s="8">
        <v>0</v>
      </c>
      <c r="L133" s="8">
        <v>546.24</v>
      </c>
      <c r="M133" s="8">
        <v>97896.07</v>
      </c>
      <c r="N133" s="8">
        <v>81204.2</v>
      </c>
      <c r="O133" s="8" t="str">
        <f t="shared" si="17"/>
        <v>Fraud</v>
      </c>
      <c r="P133" s="8">
        <v>1</v>
      </c>
      <c r="Q133" s="8" t="s">
        <v>1024</v>
      </c>
      <c r="R133" s="8" t="s">
        <v>1029</v>
      </c>
      <c r="S133" s="8">
        <v>3211</v>
      </c>
      <c r="T133" s="8">
        <v>65</v>
      </c>
      <c r="U133" s="8">
        <v>7497.67</v>
      </c>
      <c r="V133" s="8">
        <v>2.4</v>
      </c>
      <c r="W133" s="8">
        <v>5.3</v>
      </c>
      <c r="X133" s="8">
        <v>521.34</v>
      </c>
      <c r="Y133" s="20" t="str">
        <f t="shared" si="12"/>
        <v>Normal</v>
      </c>
      <c r="Z133" s="20">
        <f t="shared" si="13"/>
        <v>-0.69582925327358536</v>
      </c>
      <c r="AA133" s="20">
        <f t="shared" si="14"/>
        <v>3.8929537387394748</v>
      </c>
      <c r="AB133" s="20">
        <f t="shared" si="15"/>
        <v>1.0887795488069256</v>
      </c>
      <c r="AC133" s="20">
        <f t="shared" si="16"/>
        <v>0.6058561065913014</v>
      </c>
      <c r="AD133" s="20"/>
    </row>
    <row r="134" spans="1:30" x14ac:dyDescent="0.45">
      <c r="A134" s="8" t="s">
        <v>431</v>
      </c>
      <c r="B134" s="8" t="s">
        <v>921</v>
      </c>
      <c r="C134" s="8">
        <v>51.8</v>
      </c>
      <c r="D134" s="8" t="s">
        <v>1010</v>
      </c>
      <c r="E134" s="8" t="s">
        <v>1013</v>
      </c>
      <c r="F134" s="8" t="s">
        <v>1019</v>
      </c>
      <c r="G134" s="8" t="s">
        <v>1020</v>
      </c>
      <c r="H134" s="8">
        <v>85511.4</v>
      </c>
      <c r="I134" s="8">
        <v>752</v>
      </c>
      <c r="J134" s="8">
        <v>1</v>
      </c>
      <c r="K134" s="8">
        <v>0</v>
      </c>
      <c r="L134" s="8">
        <v>557.95000000000005</v>
      </c>
      <c r="M134" s="8">
        <v>14085</v>
      </c>
      <c r="N134" s="8">
        <v>61706.36</v>
      </c>
      <c r="O134" s="8" t="str">
        <f t="shared" si="17"/>
        <v>Fraud</v>
      </c>
      <c r="P134" s="8">
        <v>1</v>
      </c>
      <c r="Q134" s="8" t="s">
        <v>1025</v>
      </c>
      <c r="R134" s="8" t="s">
        <v>1026</v>
      </c>
      <c r="S134" s="8">
        <v>4083</v>
      </c>
      <c r="T134" s="8">
        <v>233</v>
      </c>
      <c r="U134" s="8">
        <v>8745.4</v>
      </c>
      <c r="V134" s="8">
        <v>7.6</v>
      </c>
      <c r="W134" s="8">
        <v>6.1</v>
      </c>
      <c r="X134" s="8">
        <v>496.72</v>
      </c>
      <c r="Y134" s="20" t="str">
        <f t="shared" si="12"/>
        <v>Normal</v>
      </c>
      <c r="Z134" s="20">
        <f t="shared" si="13"/>
        <v>-0.69024120351195839</v>
      </c>
      <c r="AA134" s="20">
        <f t="shared" si="14"/>
        <v>-0.28967421749391381</v>
      </c>
      <c r="AB134" s="20">
        <f t="shared" si="15"/>
        <v>7.7369972328677025E-2</v>
      </c>
      <c r="AC134" s="20">
        <f t="shared" si="16"/>
        <v>-0.20974640691807075</v>
      </c>
      <c r="AD134" s="20"/>
    </row>
    <row r="135" spans="1:30" x14ac:dyDescent="0.45">
      <c r="A135" s="8" t="s">
        <v>319</v>
      </c>
      <c r="B135" s="8" t="s">
        <v>815</v>
      </c>
      <c r="C135" s="8">
        <v>63.5</v>
      </c>
      <c r="D135" s="8" t="s">
        <v>1010</v>
      </c>
      <c r="E135" s="8" t="s">
        <v>1012</v>
      </c>
      <c r="F135" s="8" t="s">
        <v>1017</v>
      </c>
      <c r="G135" s="8" t="s">
        <v>1022</v>
      </c>
      <c r="H135" s="8">
        <v>96386.36</v>
      </c>
      <c r="I135" s="8">
        <v>728</v>
      </c>
      <c r="J135" s="8">
        <v>0</v>
      </c>
      <c r="K135" s="8">
        <v>0</v>
      </c>
      <c r="L135" s="8">
        <v>558.02</v>
      </c>
      <c r="M135" s="8">
        <v>23530.76</v>
      </c>
      <c r="N135" s="8">
        <v>56199.22</v>
      </c>
      <c r="O135" s="8" t="str">
        <f t="shared" si="17"/>
        <v>Not Fraud</v>
      </c>
      <c r="P135" s="8">
        <v>0</v>
      </c>
      <c r="Q135" s="8" t="s">
        <v>1024</v>
      </c>
      <c r="R135" s="8" t="s">
        <v>1028</v>
      </c>
      <c r="S135" s="8">
        <v>3718</v>
      </c>
      <c r="T135" s="8">
        <v>219</v>
      </c>
      <c r="U135" s="8">
        <v>9719.7900000000009</v>
      </c>
      <c r="V135" s="8">
        <v>1.7</v>
      </c>
      <c r="W135" s="8">
        <v>2.8</v>
      </c>
      <c r="X135" s="8">
        <v>0</v>
      </c>
      <c r="Y135" s="20" t="str">
        <f t="shared" si="12"/>
        <v>Normal</v>
      </c>
      <c r="Z135" s="20">
        <f t="shared" si="13"/>
        <v>-0.690207799286227</v>
      </c>
      <c r="AA135" s="20">
        <f t="shared" si="14"/>
        <v>0.18172054985449354</v>
      </c>
      <c r="AB135" s="20">
        <f t="shared" si="15"/>
        <v>-0.20830137049731923</v>
      </c>
      <c r="AC135" s="20">
        <f t="shared" si="16"/>
        <v>0.24669182789272806</v>
      </c>
      <c r="AD135" s="20"/>
    </row>
    <row r="136" spans="1:30" x14ac:dyDescent="0.45">
      <c r="A136" s="8" t="s">
        <v>159</v>
      </c>
      <c r="B136" s="8" t="s">
        <v>657</v>
      </c>
      <c r="C136" s="8">
        <v>38.299999999999997</v>
      </c>
      <c r="D136" s="8" t="s">
        <v>1010</v>
      </c>
      <c r="E136" s="8" t="s">
        <v>1013</v>
      </c>
      <c r="F136" s="8" t="s">
        <v>1019</v>
      </c>
      <c r="G136" s="8" t="s">
        <v>1022</v>
      </c>
      <c r="H136" s="8">
        <v>93826.82</v>
      </c>
      <c r="I136" s="8">
        <v>746</v>
      </c>
      <c r="J136" s="8">
        <v>0</v>
      </c>
      <c r="K136" s="8">
        <v>0</v>
      </c>
      <c r="L136" s="8">
        <v>563.28</v>
      </c>
      <c r="M136" s="8">
        <v>7577.35</v>
      </c>
      <c r="N136" s="8">
        <v>61198.65</v>
      </c>
      <c r="O136" s="8" t="str">
        <f t="shared" si="17"/>
        <v>Not Fraud</v>
      </c>
      <c r="P136" s="8">
        <v>0</v>
      </c>
      <c r="Q136" s="8" t="s">
        <v>1026</v>
      </c>
      <c r="R136" s="8" t="s">
        <v>1028</v>
      </c>
      <c r="S136" s="8">
        <v>48</v>
      </c>
      <c r="T136" s="8">
        <v>293</v>
      </c>
      <c r="U136" s="8">
        <v>5775.94</v>
      </c>
      <c r="V136" s="8">
        <v>2.6</v>
      </c>
      <c r="W136" s="8">
        <v>3.1</v>
      </c>
      <c r="X136" s="8">
        <v>0</v>
      </c>
      <c r="Y136" s="20" t="str">
        <f t="shared" si="12"/>
        <v>Normal</v>
      </c>
      <c r="Z136" s="20">
        <f t="shared" si="13"/>
        <v>-0.68769771032412985</v>
      </c>
      <c r="AA136" s="20">
        <f t="shared" si="14"/>
        <v>-0.61444132545927221</v>
      </c>
      <c r="AB136" s="20">
        <f t="shared" si="15"/>
        <v>5.1033580396351655E-2</v>
      </c>
      <c r="AC136" s="20">
        <f t="shared" si="16"/>
        <v>0.13926412981129802</v>
      </c>
      <c r="AD136" s="20"/>
    </row>
    <row r="137" spans="1:30" x14ac:dyDescent="0.45">
      <c r="A137" s="8" t="s">
        <v>130</v>
      </c>
      <c r="B137" s="8" t="s">
        <v>628</v>
      </c>
      <c r="C137" s="8">
        <v>52.6</v>
      </c>
      <c r="D137" s="8" t="s">
        <v>1009</v>
      </c>
      <c r="E137" s="8" t="s">
        <v>1012</v>
      </c>
      <c r="F137" s="8" t="s">
        <v>1019</v>
      </c>
      <c r="G137" s="8" t="s">
        <v>1023</v>
      </c>
      <c r="H137" s="8">
        <v>94739.91</v>
      </c>
      <c r="I137" s="8">
        <v>698</v>
      </c>
      <c r="J137" s="8">
        <v>0</v>
      </c>
      <c r="K137" s="8">
        <v>0</v>
      </c>
      <c r="L137" s="8">
        <v>564.24</v>
      </c>
      <c r="M137" s="8">
        <v>36924.15</v>
      </c>
      <c r="N137" s="8">
        <v>75085.83</v>
      </c>
      <c r="O137" s="8" t="str">
        <f t="shared" si="17"/>
        <v>Fraud</v>
      </c>
      <c r="P137" s="8">
        <v>1</v>
      </c>
      <c r="Q137" s="8" t="s">
        <v>1026</v>
      </c>
      <c r="R137" s="8" t="s">
        <v>1028</v>
      </c>
      <c r="S137" s="8">
        <v>3257</v>
      </c>
      <c r="T137" s="8">
        <v>25</v>
      </c>
      <c r="U137" s="8">
        <v>3857.77</v>
      </c>
      <c r="V137" s="8">
        <v>5.6</v>
      </c>
      <c r="W137" s="8">
        <v>3.2</v>
      </c>
      <c r="X137" s="8">
        <v>369.92</v>
      </c>
      <c r="Y137" s="20" t="str">
        <f t="shared" si="12"/>
        <v>Normal</v>
      </c>
      <c r="Z137" s="20">
        <f t="shared" si="13"/>
        <v>-0.68723959522838585</v>
      </c>
      <c r="AA137" s="20">
        <f t="shared" si="14"/>
        <v>0.85012351193022784</v>
      </c>
      <c r="AB137" s="20">
        <f t="shared" si="15"/>
        <v>0.77140193105864086</v>
      </c>
      <c r="AC137" s="20">
        <f t="shared" si="16"/>
        <v>0.17758787425021003</v>
      </c>
      <c r="AD137" s="20"/>
    </row>
    <row r="138" spans="1:30" x14ac:dyDescent="0.45">
      <c r="A138" s="8" t="s">
        <v>167</v>
      </c>
      <c r="B138" s="8" t="s">
        <v>665</v>
      </c>
      <c r="C138" s="8">
        <v>53.9</v>
      </c>
      <c r="D138" s="8" t="s">
        <v>1009</v>
      </c>
      <c r="E138" s="8" t="s">
        <v>1012</v>
      </c>
      <c r="F138" s="8" t="s">
        <v>1016</v>
      </c>
      <c r="G138" s="8" t="s">
        <v>1021</v>
      </c>
      <c r="H138" s="8">
        <v>125041.34</v>
      </c>
      <c r="I138" s="8">
        <v>609</v>
      </c>
      <c r="J138" s="8">
        <v>1</v>
      </c>
      <c r="K138" s="8">
        <v>1</v>
      </c>
      <c r="L138" s="8">
        <v>570.79999999999995</v>
      </c>
      <c r="M138" s="8">
        <v>12890.56</v>
      </c>
      <c r="N138" s="8">
        <v>64193.19</v>
      </c>
      <c r="O138" s="8" t="str">
        <f t="shared" si="17"/>
        <v>Fraud</v>
      </c>
      <c r="P138" s="8">
        <v>1</v>
      </c>
      <c r="Q138" s="8" t="s">
        <v>1026</v>
      </c>
      <c r="R138" s="8" t="s">
        <v>1028</v>
      </c>
      <c r="S138" s="8">
        <v>2598</v>
      </c>
      <c r="T138" s="8">
        <v>280</v>
      </c>
      <c r="U138" s="8">
        <v>3394.11</v>
      </c>
      <c r="V138" s="8">
        <v>5.8</v>
      </c>
      <c r="W138" s="8">
        <v>4.4000000000000004</v>
      </c>
      <c r="X138" s="8">
        <v>381.58</v>
      </c>
      <c r="Y138" s="20" t="str">
        <f t="shared" si="12"/>
        <v>Normal</v>
      </c>
      <c r="Z138" s="20">
        <f t="shared" si="13"/>
        <v>-0.68410914207413542</v>
      </c>
      <c r="AA138" s="20">
        <f t="shared" si="14"/>
        <v>-0.34928326598886095</v>
      </c>
      <c r="AB138" s="20">
        <f t="shared" si="15"/>
        <v>0.20636906541147007</v>
      </c>
      <c r="AC138" s="20">
        <f t="shared" si="16"/>
        <v>1.4493839288051669</v>
      </c>
      <c r="AD138" s="20"/>
    </row>
    <row r="139" spans="1:30" x14ac:dyDescent="0.45">
      <c r="A139" s="8" t="s">
        <v>397</v>
      </c>
      <c r="B139" s="8" t="s">
        <v>891</v>
      </c>
      <c r="C139" s="8">
        <v>82.3</v>
      </c>
      <c r="D139" s="8" t="s">
        <v>1010</v>
      </c>
      <c r="E139" s="8" t="s">
        <v>1013</v>
      </c>
      <c r="F139" s="8" t="s">
        <v>1016</v>
      </c>
      <c r="G139" s="8" t="s">
        <v>1020</v>
      </c>
      <c r="H139" s="8">
        <v>28040.77</v>
      </c>
      <c r="I139" s="8">
        <v>745</v>
      </c>
      <c r="J139" s="8">
        <v>0</v>
      </c>
      <c r="K139" s="8">
        <v>1</v>
      </c>
      <c r="L139" s="8">
        <v>572.64</v>
      </c>
      <c r="M139" s="8">
        <v>12357.02</v>
      </c>
      <c r="N139" s="8">
        <v>15000</v>
      </c>
      <c r="O139" s="8" t="str">
        <f t="shared" si="17"/>
        <v>Fraud</v>
      </c>
      <c r="P139" s="8">
        <v>1</v>
      </c>
      <c r="Q139" s="8" t="s">
        <v>1025</v>
      </c>
      <c r="R139" s="8" t="s">
        <v>1029</v>
      </c>
      <c r="S139" s="8">
        <v>3118</v>
      </c>
      <c r="T139" s="8">
        <v>82</v>
      </c>
      <c r="U139" s="8">
        <v>7357.01</v>
      </c>
      <c r="V139" s="8">
        <v>6</v>
      </c>
      <c r="W139" s="8">
        <v>5.8</v>
      </c>
      <c r="X139" s="8">
        <v>308.55</v>
      </c>
      <c r="Y139" s="20" t="str">
        <f t="shared" si="12"/>
        <v>Normal</v>
      </c>
      <c r="Z139" s="20">
        <f t="shared" si="13"/>
        <v>-0.68323108814062605</v>
      </c>
      <c r="AA139" s="20">
        <f t="shared" si="14"/>
        <v>-0.37590981209749263</v>
      </c>
      <c r="AB139" s="20">
        <f t="shared" si="15"/>
        <v>-2.3454245416503392</v>
      </c>
      <c r="AC139" s="20">
        <f t="shared" si="16"/>
        <v>-2.6218741674491</v>
      </c>
      <c r="AD139" s="20"/>
    </row>
    <row r="140" spans="1:30" x14ac:dyDescent="0.45">
      <c r="A140" s="8" t="s">
        <v>244</v>
      </c>
      <c r="B140" s="8" t="s">
        <v>742</v>
      </c>
      <c r="C140" s="8">
        <v>22</v>
      </c>
      <c r="D140" s="8" t="s">
        <v>1010</v>
      </c>
      <c r="E140" s="8" t="s">
        <v>1014</v>
      </c>
      <c r="F140" s="8" t="s">
        <v>1016</v>
      </c>
      <c r="G140" s="8" t="s">
        <v>1020</v>
      </c>
      <c r="H140" s="8">
        <v>120085.58</v>
      </c>
      <c r="I140" s="8">
        <v>679</v>
      </c>
      <c r="J140" s="8">
        <v>0</v>
      </c>
      <c r="K140" s="8">
        <v>0</v>
      </c>
      <c r="L140" s="8">
        <v>583.91</v>
      </c>
      <c r="M140" s="8">
        <v>56765.760000000002</v>
      </c>
      <c r="N140" s="8">
        <v>92853.46</v>
      </c>
      <c r="O140" s="8" t="str">
        <f t="shared" si="17"/>
        <v>Not Fraud</v>
      </c>
      <c r="P140" s="8">
        <v>0</v>
      </c>
      <c r="Q140" s="8" t="s">
        <v>1026</v>
      </c>
      <c r="R140" s="8" t="s">
        <v>1030</v>
      </c>
      <c r="S140" s="8">
        <v>775</v>
      </c>
      <c r="T140" s="8">
        <v>61</v>
      </c>
      <c r="U140" s="8">
        <v>8665.61</v>
      </c>
      <c r="V140" s="8">
        <v>1.9</v>
      </c>
      <c r="W140" s="8">
        <v>7.1</v>
      </c>
      <c r="X140" s="8">
        <v>0</v>
      </c>
      <c r="Y140" s="20" t="str">
        <f t="shared" si="12"/>
        <v>Normal</v>
      </c>
      <c r="Z140" s="20">
        <f t="shared" si="13"/>
        <v>-0.67785300779788182</v>
      </c>
      <c r="AA140" s="20">
        <f t="shared" si="14"/>
        <v>1.8403277019337674</v>
      </c>
      <c r="AB140" s="20">
        <f t="shared" si="15"/>
        <v>1.6930604908438394</v>
      </c>
      <c r="AC140" s="20">
        <f t="shared" si="16"/>
        <v>1.2413833157871914</v>
      </c>
      <c r="AD140" s="20"/>
    </row>
    <row r="141" spans="1:30" x14ac:dyDescent="0.45">
      <c r="A141" s="8" t="s">
        <v>399</v>
      </c>
      <c r="B141" s="8" t="s">
        <v>892</v>
      </c>
      <c r="C141" s="8">
        <v>63.1</v>
      </c>
      <c r="D141" s="8" t="s">
        <v>1010</v>
      </c>
      <c r="E141" s="8" t="s">
        <v>1014</v>
      </c>
      <c r="F141" s="8" t="s">
        <v>1016</v>
      </c>
      <c r="G141" s="8" t="s">
        <v>1022</v>
      </c>
      <c r="H141" s="8">
        <v>108177.71</v>
      </c>
      <c r="I141" s="8">
        <v>631</v>
      </c>
      <c r="J141" s="8">
        <v>0</v>
      </c>
      <c r="K141" s="8">
        <v>1</v>
      </c>
      <c r="L141" s="8">
        <v>587.84</v>
      </c>
      <c r="M141" s="8">
        <v>35387.760000000002</v>
      </c>
      <c r="N141" s="8">
        <v>68734.77</v>
      </c>
      <c r="O141" s="8" t="str">
        <f t="shared" si="17"/>
        <v>Not Fraud</v>
      </c>
      <c r="P141" s="8">
        <v>0</v>
      </c>
      <c r="Q141" s="8" t="s">
        <v>1024</v>
      </c>
      <c r="R141" s="8" t="s">
        <v>1029</v>
      </c>
      <c r="S141" s="8">
        <v>3066</v>
      </c>
      <c r="T141" s="8">
        <v>287</v>
      </c>
      <c r="U141" s="8">
        <v>3459.99</v>
      </c>
      <c r="V141" s="8">
        <v>1.4</v>
      </c>
      <c r="W141" s="8">
        <v>4.8</v>
      </c>
      <c r="X141" s="8">
        <v>0</v>
      </c>
      <c r="Y141" s="20" t="str">
        <f t="shared" si="12"/>
        <v>Normal</v>
      </c>
      <c r="Z141" s="20">
        <f t="shared" si="13"/>
        <v>-0.67597759912468003</v>
      </c>
      <c r="AA141" s="20">
        <f t="shared" si="14"/>
        <v>0.773449299732753</v>
      </c>
      <c r="AB141" s="20">
        <f t="shared" si="15"/>
        <v>0.44195400735078677</v>
      </c>
      <c r="AC141" s="20">
        <f t="shared" si="16"/>
        <v>0.74159231304727691</v>
      </c>
      <c r="AD141" s="20"/>
    </row>
    <row r="142" spans="1:30" x14ac:dyDescent="0.45">
      <c r="A142" s="8" t="s">
        <v>511</v>
      </c>
      <c r="B142" s="8" t="s">
        <v>752</v>
      </c>
      <c r="C142" s="8">
        <v>75.3</v>
      </c>
      <c r="D142" s="8" t="s">
        <v>1009</v>
      </c>
      <c r="E142" s="8" t="s">
        <v>1012</v>
      </c>
      <c r="F142" s="8" t="s">
        <v>1016</v>
      </c>
      <c r="G142" s="8" t="s">
        <v>1021</v>
      </c>
      <c r="H142" s="8">
        <v>63200.36</v>
      </c>
      <c r="I142" s="8">
        <v>766</v>
      </c>
      <c r="J142" s="8">
        <v>0</v>
      </c>
      <c r="K142" s="8">
        <v>1</v>
      </c>
      <c r="L142" s="8">
        <v>590.53</v>
      </c>
      <c r="M142" s="8">
        <v>11.96</v>
      </c>
      <c r="N142" s="8">
        <v>63200.36</v>
      </c>
      <c r="O142" s="8" t="str">
        <f t="shared" si="17"/>
        <v>Fraud</v>
      </c>
      <c r="P142" s="8">
        <v>1</v>
      </c>
      <c r="Q142" s="8" t="s">
        <v>1026</v>
      </c>
      <c r="R142" s="8" t="s">
        <v>1030</v>
      </c>
      <c r="S142" s="8">
        <v>3190</v>
      </c>
      <c r="T142" s="8">
        <v>229</v>
      </c>
      <c r="U142" s="8">
        <v>4832.46</v>
      </c>
      <c r="V142" s="8">
        <v>0.8</v>
      </c>
      <c r="W142" s="8">
        <v>5.6</v>
      </c>
      <c r="X142" s="8">
        <v>341.7</v>
      </c>
      <c r="Y142" s="20" t="str">
        <f t="shared" si="12"/>
        <v>Normal</v>
      </c>
      <c r="Z142" s="20">
        <f t="shared" si="13"/>
        <v>-0.67469392245014737</v>
      </c>
      <c r="AA142" s="20">
        <f t="shared" si="14"/>
        <v>-0.99199540887341442</v>
      </c>
      <c r="AB142" s="20">
        <f t="shared" si="15"/>
        <v>0.1548680904411707</v>
      </c>
      <c r="AC142" s="20">
        <f t="shared" si="16"/>
        <v>-1.1461739169404632</v>
      </c>
      <c r="AD142" s="20"/>
    </row>
    <row r="143" spans="1:30" x14ac:dyDescent="0.45">
      <c r="A143" s="8" t="s">
        <v>318</v>
      </c>
      <c r="B143" s="8" t="s">
        <v>814</v>
      </c>
      <c r="C143" s="8">
        <v>39.6</v>
      </c>
      <c r="D143" s="8" t="s">
        <v>1009</v>
      </c>
      <c r="E143" s="8" t="s">
        <v>1014</v>
      </c>
      <c r="F143" s="8" t="s">
        <v>1016</v>
      </c>
      <c r="G143" s="8" t="s">
        <v>1023</v>
      </c>
      <c r="H143" s="8">
        <v>86184.27</v>
      </c>
      <c r="I143" s="8">
        <v>691</v>
      </c>
      <c r="J143" s="8">
        <v>0</v>
      </c>
      <c r="K143" s="8">
        <v>1</v>
      </c>
      <c r="L143" s="8">
        <v>597.41999999999996</v>
      </c>
      <c r="M143" s="8">
        <v>29036.61</v>
      </c>
      <c r="N143" s="8">
        <v>60136</v>
      </c>
      <c r="O143" s="8" t="str">
        <f t="shared" si="17"/>
        <v>Not Fraud</v>
      </c>
      <c r="P143" s="8">
        <v>0</v>
      </c>
      <c r="Q143" s="8" t="s">
        <v>1026</v>
      </c>
      <c r="R143" s="8" t="s">
        <v>1029</v>
      </c>
      <c r="S143" s="8">
        <v>3741</v>
      </c>
      <c r="T143" s="8">
        <v>270</v>
      </c>
      <c r="U143" s="8">
        <v>4368.08</v>
      </c>
      <c r="V143" s="8">
        <v>0.6</v>
      </c>
      <c r="W143" s="8">
        <v>0.6</v>
      </c>
      <c r="X143" s="8">
        <v>0</v>
      </c>
      <c r="Y143" s="20" t="str">
        <f t="shared" si="12"/>
        <v>Normal</v>
      </c>
      <c r="Z143" s="20">
        <f t="shared" si="13"/>
        <v>-0.67140599223173503</v>
      </c>
      <c r="AA143" s="20">
        <f t="shared" si="14"/>
        <v>0.45649239243838619</v>
      </c>
      <c r="AB143" s="20">
        <f t="shared" si="15"/>
        <v>-4.0891607095663663E-3</v>
      </c>
      <c r="AC143" s="20">
        <f t="shared" si="16"/>
        <v>-0.1815050529216288</v>
      </c>
      <c r="AD143" s="20"/>
    </row>
    <row r="144" spans="1:30" x14ac:dyDescent="0.45">
      <c r="A144" s="8" t="s">
        <v>110</v>
      </c>
      <c r="B144" s="8" t="s">
        <v>610</v>
      </c>
      <c r="C144" s="8">
        <v>54.9</v>
      </c>
      <c r="D144" s="8" t="s">
        <v>1009</v>
      </c>
      <c r="E144" s="8" t="s">
        <v>1014</v>
      </c>
      <c r="F144" s="8" t="s">
        <v>1016</v>
      </c>
      <c r="G144" s="8" t="s">
        <v>1020</v>
      </c>
      <c r="H144" s="8">
        <v>80458.09</v>
      </c>
      <c r="I144" s="8">
        <v>645</v>
      </c>
      <c r="J144" s="8">
        <v>1</v>
      </c>
      <c r="K144" s="8">
        <v>1</v>
      </c>
      <c r="L144" s="8">
        <v>597.62</v>
      </c>
      <c r="M144" s="8">
        <v>13205.64</v>
      </c>
      <c r="N144" s="8">
        <v>15000</v>
      </c>
      <c r="O144" s="8" t="str">
        <f t="shared" si="17"/>
        <v>Fraud</v>
      </c>
      <c r="P144" s="8">
        <v>1</v>
      </c>
      <c r="Q144" s="8" t="s">
        <v>1025</v>
      </c>
      <c r="R144" s="8" t="s">
        <v>1029</v>
      </c>
      <c r="S144" s="8">
        <v>710</v>
      </c>
      <c r="T144" s="8">
        <v>198</v>
      </c>
      <c r="U144" s="8">
        <v>2801.9</v>
      </c>
      <c r="V144" s="8">
        <v>3.1</v>
      </c>
      <c r="W144" s="8">
        <v>6.9</v>
      </c>
      <c r="X144" s="8">
        <v>466.21</v>
      </c>
      <c r="Y144" s="20" t="str">
        <f t="shared" si="12"/>
        <v>Normal</v>
      </c>
      <c r="Z144" s="20">
        <f t="shared" si="13"/>
        <v>-0.67131055158678821</v>
      </c>
      <c r="AA144" s="20">
        <f t="shared" si="14"/>
        <v>-0.33355906134083518</v>
      </c>
      <c r="AB144" s="20">
        <f t="shared" si="15"/>
        <v>-2.3454245416503392</v>
      </c>
      <c r="AC144" s="20">
        <f t="shared" si="16"/>
        <v>-0.42184133842602622</v>
      </c>
      <c r="AD144" s="20"/>
    </row>
    <row r="145" spans="1:30" x14ac:dyDescent="0.45">
      <c r="A145" s="8" t="s">
        <v>441</v>
      </c>
      <c r="B145" s="8" t="s">
        <v>931</v>
      </c>
      <c r="C145" s="8">
        <v>67.7</v>
      </c>
      <c r="D145" s="8" t="s">
        <v>1010</v>
      </c>
      <c r="E145" s="8" t="s">
        <v>1012</v>
      </c>
      <c r="F145" s="8" t="s">
        <v>1019</v>
      </c>
      <c r="G145" s="8" t="s">
        <v>1022</v>
      </c>
      <c r="H145" s="8">
        <v>87567.57</v>
      </c>
      <c r="I145" s="8">
        <v>667</v>
      </c>
      <c r="J145" s="8">
        <v>1</v>
      </c>
      <c r="K145" s="8">
        <v>1</v>
      </c>
      <c r="L145" s="8">
        <v>598.30999999999995</v>
      </c>
      <c r="M145" s="8">
        <v>30748.29</v>
      </c>
      <c r="N145" s="8">
        <v>52320.57</v>
      </c>
      <c r="O145" s="8" t="str">
        <f t="shared" si="17"/>
        <v>Not Fraud</v>
      </c>
      <c r="P145" s="8">
        <v>0</v>
      </c>
      <c r="Q145" s="8" t="s">
        <v>1024</v>
      </c>
      <c r="R145" s="8" t="s">
        <v>1026</v>
      </c>
      <c r="S145" s="8">
        <v>2831</v>
      </c>
      <c r="T145" s="8">
        <v>223</v>
      </c>
      <c r="U145" s="8">
        <v>1031.6199999999999</v>
      </c>
      <c r="V145" s="8">
        <v>0.5</v>
      </c>
      <c r="W145" s="8">
        <v>5.7</v>
      </c>
      <c r="X145" s="8">
        <v>0</v>
      </c>
      <c r="Y145" s="20" t="str">
        <f t="shared" si="12"/>
        <v>Normal</v>
      </c>
      <c r="Z145" s="20">
        <f t="shared" si="13"/>
        <v>-0.6709812813617223</v>
      </c>
      <c r="AA145" s="20">
        <f t="shared" si="14"/>
        <v>0.54191452844172761</v>
      </c>
      <c r="AB145" s="20">
        <f t="shared" si="15"/>
        <v>-0.4094982083935868</v>
      </c>
      <c r="AC145" s="20">
        <f t="shared" si="16"/>
        <v>-0.12344589590277272</v>
      </c>
      <c r="AD145" s="20"/>
    </row>
    <row r="146" spans="1:30" x14ac:dyDescent="0.45">
      <c r="A146" s="8" t="s">
        <v>260</v>
      </c>
      <c r="B146" s="8" t="s">
        <v>758</v>
      </c>
      <c r="C146" s="8">
        <v>52.8</v>
      </c>
      <c r="D146" s="8" t="s">
        <v>1010</v>
      </c>
      <c r="E146" s="8" t="s">
        <v>1013</v>
      </c>
      <c r="F146" s="8" t="s">
        <v>1016</v>
      </c>
      <c r="G146" s="8" t="s">
        <v>1022</v>
      </c>
      <c r="H146" s="8">
        <v>117527.94</v>
      </c>
      <c r="I146" s="8">
        <v>601</v>
      </c>
      <c r="J146" s="8">
        <v>0</v>
      </c>
      <c r="K146" s="8">
        <v>0</v>
      </c>
      <c r="L146" s="8">
        <v>609.51</v>
      </c>
      <c r="M146" s="8">
        <v>11230.92</v>
      </c>
      <c r="N146" s="8">
        <v>75692.09</v>
      </c>
      <c r="O146" s="8" t="str">
        <f t="shared" si="17"/>
        <v>Not Fraud</v>
      </c>
      <c r="P146" s="8">
        <v>0</v>
      </c>
      <c r="Q146" s="8" t="s">
        <v>1026</v>
      </c>
      <c r="R146" s="8" t="s">
        <v>1028</v>
      </c>
      <c r="S146" s="8">
        <v>3444</v>
      </c>
      <c r="T146" s="8">
        <v>107</v>
      </c>
      <c r="U146" s="8">
        <v>5752.64</v>
      </c>
      <c r="V146" s="8">
        <v>5.3</v>
      </c>
      <c r="W146" s="8">
        <v>8.9</v>
      </c>
      <c r="X146" s="8">
        <v>0</v>
      </c>
      <c r="Y146" s="20" t="str">
        <f t="shared" si="12"/>
        <v>Normal</v>
      </c>
      <c r="Z146" s="20">
        <f t="shared" si="13"/>
        <v>-0.66563660524470925</v>
      </c>
      <c r="AA146" s="20">
        <f t="shared" si="14"/>
        <v>-0.43210832312371411</v>
      </c>
      <c r="AB146" s="20">
        <f t="shared" si="15"/>
        <v>0.80285039764959132</v>
      </c>
      <c r="AC146" s="20">
        <f t="shared" si="16"/>
        <v>1.1340353635297586</v>
      </c>
      <c r="AD146" s="20"/>
    </row>
    <row r="147" spans="1:30" x14ac:dyDescent="0.45">
      <c r="A147" s="8" t="s">
        <v>353</v>
      </c>
      <c r="B147" s="8" t="s">
        <v>848</v>
      </c>
      <c r="C147" s="8">
        <v>49.8</v>
      </c>
      <c r="D147" s="8" t="s">
        <v>1010</v>
      </c>
      <c r="E147" s="8" t="s">
        <v>1014</v>
      </c>
      <c r="F147" s="8" t="s">
        <v>1016</v>
      </c>
      <c r="G147" s="8" t="s">
        <v>1023</v>
      </c>
      <c r="H147" s="8">
        <v>86113.9</v>
      </c>
      <c r="I147" s="8">
        <v>709</v>
      </c>
      <c r="J147" s="8">
        <v>1</v>
      </c>
      <c r="K147" s="8">
        <v>1</v>
      </c>
      <c r="L147" s="8">
        <v>615.9</v>
      </c>
      <c r="M147" s="8">
        <v>7204.09</v>
      </c>
      <c r="N147" s="8">
        <v>50599.16</v>
      </c>
      <c r="O147" s="8" t="str">
        <f t="shared" si="17"/>
        <v>Fraud</v>
      </c>
      <c r="P147" s="8">
        <v>1</v>
      </c>
      <c r="Q147" s="8" t="s">
        <v>1025</v>
      </c>
      <c r="R147" s="8" t="s">
        <v>1030</v>
      </c>
      <c r="S147" s="8">
        <v>4983</v>
      </c>
      <c r="T147" s="8">
        <v>46</v>
      </c>
      <c r="U147" s="8">
        <v>9138.51</v>
      </c>
      <c r="V147" s="8">
        <v>2.7</v>
      </c>
      <c r="W147" s="8">
        <v>3.7</v>
      </c>
      <c r="X147" s="8">
        <v>391.42</v>
      </c>
      <c r="Y147" s="20" t="str">
        <f t="shared" si="12"/>
        <v>Normal</v>
      </c>
      <c r="Z147" s="20">
        <f t="shared" si="13"/>
        <v>-0.66258727663866357</v>
      </c>
      <c r="AA147" s="20">
        <f t="shared" si="14"/>
        <v>-0.63306902835035417</v>
      </c>
      <c r="AB147" s="20">
        <f t="shared" si="15"/>
        <v>-0.49879274353416742</v>
      </c>
      <c r="AC147" s="20">
        <f t="shared" si="16"/>
        <v>-0.18445858641358098</v>
      </c>
      <c r="AD147" s="20"/>
    </row>
    <row r="148" spans="1:30" x14ac:dyDescent="0.45">
      <c r="A148" s="8" t="s">
        <v>25</v>
      </c>
      <c r="B148" s="8" t="s">
        <v>525</v>
      </c>
      <c r="C148" s="8">
        <v>59.7</v>
      </c>
      <c r="D148" s="8" t="s">
        <v>1010</v>
      </c>
      <c r="E148" s="8" t="s">
        <v>1013</v>
      </c>
      <c r="F148" s="8" t="s">
        <v>1016</v>
      </c>
      <c r="G148" s="8" t="s">
        <v>1021</v>
      </c>
      <c r="H148" s="8">
        <v>70351.92</v>
      </c>
      <c r="I148" s="8">
        <v>608</v>
      </c>
      <c r="J148" s="8">
        <v>0</v>
      </c>
      <c r="K148" s="8">
        <v>0</v>
      </c>
      <c r="L148" s="8">
        <v>616.23</v>
      </c>
      <c r="M148" s="8">
        <v>15542.71</v>
      </c>
      <c r="N148" s="8">
        <v>43807.93</v>
      </c>
      <c r="O148" s="8" t="str">
        <f t="shared" si="17"/>
        <v>Fraud</v>
      </c>
      <c r="P148" s="8">
        <v>1</v>
      </c>
      <c r="Q148" s="8" t="s">
        <v>1025</v>
      </c>
      <c r="R148" s="8" t="s">
        <v>1028</v>
      </c>
      <c r="S148" s="8">
        <v>4868</v>
      </c>
      <c r="T148" s="8">
        <v>114</v>
      </c>
      <c r="U148" s="8">
        <v>4067.04</v>
      </c>
      <c r="V148" s="8">
        <v>9.4</v>
      </c>
      <c r="W148" s="8">
        <v>4.9000000000000004</v>
      </c>
      <c r="X148" s="8">
        <v>610.55999999999995</v>
      </c>
      <c r="Y148" s="20" t="str">
        <f t="shared" si="12"/>
        <v>Normal</v>
      </c>
      <c r="Z148" s="20">
        <f t="shared" si="13"/>
        <v>-0.66242979957450143</v>
      </c>
      <c r="AA148" s="20">
        <f t="shared" si="14"/>
        <v>-0.21692656496924173</v>
      </c>
      <c r="AB148" s="20">
        <f t="shared" si="15"/>
        <v>-0.85107356325914107</v>
      </c>
      <c r="AC148" s="20">
        <f t="shared" si="16"/>
        <v>-0.84601231427309576</v>
      </c>
      <c r="AD148" s="20"/>
    </row>
    <row r="149" spans="1:30" x14ac:dyDescent="0.45">
      <c r="A149" s="8" t="s">
        <v>349</v>
      </c>
      <c r="B149" s="8" t="s">
        <v>844</v>
      </c>
      <c r="C149" s="8">
        <v>67.400000000000006</v>
      </c>
      <c r="D149" s="8" t="s">
        <v>1009</v>
      </c>
      <c r="E149" s="8" t="s">
        <v>1014</v>
      </c>
      <c r="F149" s="8" t="s">
        <v>1019</v>
      </c>
      <c r="G149" s="8" t="s">
        <v>1022</v>
      </c>
      <c r="H149" s="8">
        <v>52715.42</v>
      </c>
      <c r="I149" s="8">
        <v>745</v>
      </c>
      <c r="J149" s="8">
        <v>0</v>
      </c>
      <c r="K149" s="8">
        <v>0</v>
      </c>
      <c r="L149" s="8">
        <v>628.72</v>
      </c>
      <c r="M149" s="8">
        <v>5714.74</v>
      </c>
      <c r="N149" s="8">
        <v>34991.85</v>
      </c>
      <c r="O149" s="8" t="str">
        <f t="shared" si="17"/>
        <v>Fraud</v>
      </c>
      <c r="P149" s="8">
        <v>1</v>
      </c>
      <c r="Q149" s="8" t="s">
        <v>1027</v>
      </c>
      <c r="R149" s="8" t="s">
        <v>1028</v>
      </c>
      <c r="S149" s="8">
        <v>43</v>
      </c>
      <c r="T149" s="8">
        <v>159</v>
      </c>
      <c r="U149" s="8">
        <v>799.02</v>
      </c>
      <c r="V149" s="8">
        <v>1.4</v>
      </c>
      <c r="W149" s="8">
        <v>5.8</v>
      </c>
      <c r="X149" s="8">
        <v>388.43</v>
      </c>
      <c r="Y149" s="20" t="str">
        <f t="shared" si="12"/>
        <v>Normal</v>
      </c>
      <c r="Z149" s="20">
        <f t="shared" si="13"/>
        <v>-0.65646953129758256</v>
      </c>
      <c r="AA149" s="20">
        <f t="shared" si="14"/>
        <v>-0.70739568885732773</v>
      </c>
      <c r="AB149" s="20">
        <f t="shared" si="15"/>
        <v>-1.3083892320203148</v>
      </c>
      <c r="AC149" s="20">
        <f t="shared" si="16"/>
        <v>-1.5862424326588782</v>
      </c>
      <c r="AD149" s="20"/>
    </row>
    <row r="150" spans="1:30" x14ac:dyDescent="0.45">
      <c r="A150" s="8" t="s">
        <v>37</v>
      </c>
      <c r="B150" s="8" t="s">
        <v>537</v>
      </c>
      <c r="C150" s="8">
        <v>24.1</v>
      </c>
      <c r="D150" s="8" t="s">
        <v>1010</v>
      </c>
      <c r="E150" s="8" t="s">
        <v>1014</v>
      </c>
      <c r="F150" s="8" t="s">
        <v>1018</v>
      </c>
      <c r="G150" s="8" t="s">
        <v>1020</v>
      </c>
      <c r="H150" s="8">
        <v>104327.4</v>
      </c>
      <c r="I150" s="8">
        <v>627</v>
      </c>
      <c r="J150" s="8">
        <v>1</v>
      </c>
      <c r="K150" s="8">
        <v>1</v>
      </c>
      <c r="L150" s="8">
        <v>634.13</v>
      </c>
      <c r="M150" s="8">
        <v>28140.85</v>
      </c>
      <c r="N150" s="8">
        <v>71218.39</v>
      </c>
      <c r="O150" s="8" t="str">
        <f t="shared" si="17"/>
        <v>Fraud</v>
      </c>
      <c r="P150" s="8">
        <v>1</v>
      </c>
      <c r="Q150" s="8" t="s">
        <v>1024</v>
      </c>
      <c r="R150" s="8" t="s">
        <v>1030</v>
      </c>
      <c r="S150" s="8">
        <v>3967</v>
      </c>
      <c r="T150" s="8">
        <v>180</v>
      </c>
      <c r="U150" s="8">
        <v>8940.7900000000009</v>
      </c>
      <c r="V150" s="8">
        <v>3.1</v>
      </c>
      <c r="W150" s="8">
        <v>1.3</v>
      </c>
      <c r="X150" s="8">
        <v>342.08</v>
      </c>
      <c r="Y150" s="20" t="str">
        <f t="shared" si="12"/>
        <v>Normal</v>
      </c>
      <c r="Z150" s="20">
        <f t="shared" si="13"/>
        <v>-0.65388786185177539</v>
      </c>
      <c r="AA150" s="20">
        <f t="shared" si="14"/>
        <v>0.41178909944766756</v>
      </c>
      <c r="AB150" s="20">
        <f t="shared" si="15"/>
        <v>0.57078658841273533</v>
      </c>
      <c r="AC150" s="20">
        <f t="shared" si="16"/>
        <v>0.57998907957567136</v>
      </c>
      <c r="AD150" s="20"/>
    </row>
    <row r="151" spans="1:30" x14ac:dyDescent="0.45">
      <c r="A151" s="8" t="s">
        <v>174</v>
      </c>
      <c r="B151" s="8" t="s">
        <v>672</v>
      </c>
      <c r="C151" s="8">
        <v>55.2</v>
      </c>
      <c r="D151" s="8" t="s">
        <v>1010</v>
      </c>
      <c r="E151" s="8" t="s">
        <v>1013</v>
      </c>
      <c r="F151" s="8" t="s">
        <v>1019</v>
      </c>
      <c r="G151" s="8" t="s">
        <v>1021</v>
      </c>
      <c r="H151" s="8">
        <v>140766.85</v>
      </c>
      <c r="I151" s="8">
        <v>686</v>
      </c>
      <c r="J151" s="8">
        <v>1</v>
      </c>
      <c r="K151" s="8">
        <v>1</v>
      </c>
      <c r="L151" s="8">
        <v>660.58</v>
      </c>
      <c r="M151" s="8">
        <v>5506.39</v>
      </c>
      <c r="N151" s="8">
        <v>115193.2</v>
      </c>
      <c r="O151" s="8" t="str">
        <f t="shared" si="17"/>
        <v>Not Fraud</v>
      </c>
      <c r="P151" s="8">
        <v>0</v>
      </c>
      <c r="Q151" s="8" t="s">
        <v>1027</v>
      </c>
      <c r="R151" s="8" t="s">
        <v>1030</v>
      </c>
      <c r="S151" s="8">
        <v>4840</v>
      </c>
      <c r="T151" s="8">
        <v>88</v>
      </c>
      <c r="U151" s="8">
        <v>6309.29</v>
      </c>
      <c r="V151" s="8">
        <v>2.9</v>
      </c>
      <c r="W151" s="8">
        <v>9.9</v>
      </c>
      <c r="X151" s="8">
        <v>0</v>
      </c>
      <c r="Y151" s="20" t="str">
        <f t="shared" si="12"/>
        <v>Normal</v>
      </c>
      <c r="Z151" s="20">
        <f t="shared" si="13"/>
        <v>-0.64126583655757941</v>
      </c>
      <c r="AA151" s="20">
        <f t="shared" si="14"/>
        <v>-0.71779348636404405</v>
      </c>
      <c r="AB151" s="20">
        <f t="shared" si="15"/>
        <v>2.8518876723180018</v>
      </c>
      <c r="AC151" s="20">
        <f t="shared" si="16"/>
        <v>2.1094069565587921</v>
      </c>
      <c r="AD151" s="20"/>
    </row>
    <row r="152" spans="1:30" x14ac:dyDescent="0.45">
      <c r="A152" s="8" t="s">
        <v>48</v>
      </c>
      <c r="B152" s="8" t="s">
        <v>548</v>
      </c>
      <c r="C152" s="8">
        <v>51.7</v>
      </c>
      <c r="D152" s="8" t="s">
        <v>1009</v>
      </c>
      <c r="E152" s="8" t="s">
        <v>1011</v>
      </c>
      <c r="F152" s="8" t="s">
        <v>1018</v>
      </c>
      <c r="G152" s="8" t="s">
        <v>1023</v>
      </c>
      <c r="H152" s="8">
        <v>75634.91</v>
      </c>
      <c r="I152" s="8">
        <v>751</v>
      </c>
      <c r="J152" s="8">
        <v>0</v>
      </c>
      <c r="K152" s="8">
        <v>1</v>
      </c>
      <c r="L152" s="8">
        <v>661.12</v>
      </c>
      <c r="M152" s="8">
        <v>41610.22</v>
      </c>
      <c r="N152" s="8">
        <v>62858.86</v>
      </c>
      <c r="O152" s="8" t="str">
        <f t="shared" si="17"/>
        <v>Not Fraud</v>
      </c>
      <c r="P152" s="8">
        <v>0</v>
      </c>
      <c r="Q152" s="8" t="s">
        <v>1026</v>
      </c>
      <c r="R152" s="8" t="s">
        <v>1030</v>
      </c>
      <c r="S152" s="8">
        <v>4842</v>
      </c>
      <c r="T152" s="8">
        <v>203</v>
      </c>
      <c r="U152" s="8">
        <v>210.33</v>
      </c>
      <c r="V152" s="8">
        <v>3.9</v>
      </c>
      <c r="W152" s="8">
        <v>1.7</v>
      </c>
      <c r="X152" s="8">
        <v>0</v>
      </c>
      <c r="Y152" s="20" t="str">
        <f t="shared" si="12"/>
        <v>Normal</v>
      </c>
      <c r="Z152" s="20">
        <f t="shared" si="13"/>
        <v>-0.64100814681622342</v>
      </c>
      <c r="AA152" s="20">
        <f t="shared" si="14"/>
        <v>1.0839838765200915</v>
      </c>
      <c r="AB152" s="20">
        <f t="shared" si="15"/>
        <v>0.13715349383111944</v>
      </c>
      <c r="AC152" s="20">
        <f t="shared" si="16"/>
        <v>-0.62427737178842424</v>
      </c>
      <c r="AD152" s="20"/>
    </row>
    <row r="153" spans="1:30" x14ac:dyDescent="0.45">
      <c r="A153" s="8" t="s">
        <v>364</v>
      </c>
      <c r="B153" s="8" t="s">
        <v>859</v>
      </c>
      <c r="C153" s="8">
        <v>53.7</v>
      </c>
      <c r="D153" s="8" t="s">
        <v>1010</v>
      </c>
      <c r="E153" s="8" t="s">
        <v>1011</v>
      </c>
      <c r="F153" s="8" t="s">
        <v>1019</v>
      </c>
      <c r="G153" s="8" t="s">
        <v>1021</v>
      </c>
      <c r="H153" s="8">
        <v>116481.52</v>
      </c>
      <c r="I153" s="8">
        <v>571</v>
      </c>
      <c r="J153" s="8">
        <v>1</v>
      </c>
      <c r="K153" s="8">
        <v>0</v>
      </c>
      <c r="L153" s="8">
        <v>670.04</v>
      </c>
      <c r="M153" s="8">
        <v>14290.29</v>
      </c>
      <c r="N153" s="8">
        <v>86426.08</v>
      </c>
      <c r="O153" s="8" t="str">
        <f t="shared" si="17"/>
        <v>Fraud</v>
      </c>
      <c r="P153" s="8">
        <v>1</v>
      </c>
      <c r="Q153" s="8" t="s">
        <v>1026</v>
      </c>
      <c r="R153" s="8" t="s">
        <v>1026</v>
      </c>
      <c r="S153" s="8">
        <v>2151</v>
      </c>
      <c r="T153" s="8">
        <v>225</v>
      </c>
      <c r="U153" s="8">
        <v>6886.42</v>
      </c>
      <c r="V153" s="8">
        <v>0.6</v>
      </c>
      <c r="W153" s="8">
        <v>5.6</v>
      </c>
      <c r="X153" s="8">
        <v>539.91</v>
      </c>
      <c r="Y153" s="20" t="str">
        <f t="shared" si="12"/>
        <v>Normal</v>
      </c>
      <c r="Z153" s="20">
        <f t="shared" si="13"/>
        <v>-0.63675149405160247</v>
      </c>
      <c r="AA153" s="20">
        <f t="shared" si="14"/>
        <v>-0.27942913062012548</v>
      </c>
      <c r="AB153" s="20">
        <f t="shared" si="15"/>
        <v>1.3596536271263828</v>
      </c>
      <c r="AC153" s="20">
        <f t="shared" si="16"/>
        <v>1.0901155608205335</v>
      </c>
      <c r="AD153" s="20"/>
    </row>
    <row r="154" spans="1:30" x14ac:dyDescent="0.45">
      <c r="A154" s="8" t="s">
        <v>153</v>
      </c>
      <c r="B154" s="8" t="s">
        <v>651</v>
      </c>
      <c r="C154" s="8">
        <v>26.7</v>
      </c>
      <c r="D154" s="8" t="s">
        <v>1010</v>
      </c>
      <c r="E154" s="8" t="s">
        <v>1012</v>
      </c>
      <c r="F154" s="8" t="s">
        <v>1019</v>
      </c>
      <c r="G154" s="8" t="s">
        <v>1021</v>
      </c>
      <c r="H154" s="8">
        <v>104707.68</v>
      </c>
      <c r="I154" s="8">
        <v>603</v>
      </c>
      <c r="J154" s="8">
        <v>1</v>
      </c>
      <c r="K154" s="8">
        <v>0</v>
      </c>
      <c r="L154" s="8">
        <v>672.08</v>
      </c>
      <c r="M154" s="8">
        <v>8170.54</v>
      </c>
      <c r="N154" s="8">
        <v>76589.5</v>
      </c>
      <c r="O154" s="8" t="str">
        <f t="shared" si="17"/>
        <v>Fraud</v>
      </c>
      <c r="P154" s="8">
        <v>1</v>
      </c>
      <c r="Q154" s="8" t="s">
        <v>1027</v>
      </c>
      <c r="R154" s="8" t="s">
        <v>1028</v>
      </c>
      <c r="S154" s="8">
        <v>3229</v>
      </c>
      <c r="T154" s="8">
        <v>49</v>
      </c>
      <c r="U154" s="8">
        <v>6700.14</v>
      </c>
      <c r="V154" s="8">
        <v>5.5</v>
      </c>
      <c r="W154" s="8">
        <v>4.2</v>
      </c>
      <c r="X154" s="8">
        <v>516.46</v>
      </c>
      <c r="Y154" s="20" t="str">
        <f t="shared" si="12"/>
        <v>Normal</v>
      </c>
      <c r="Z154" s="20">
        <f t="shared" si="13"/>
        <v>-0.6357779994731465</v>
      </c>
      <c r="AA154" s="20">
        <f t="shared" si="14"/>
        <v>-0.5848379201172561</v>
      </c>
      <c r="AB154" s="20">
        <f t="shared" si="15"/>
        <v>0.84940166014981433</v>
      </c>
      <c r="AC154" s="20">
        <f t="shared" si="16"/>
        <v>0.5959499963913516</v>
      </c>
      <c r="AD154" s="20"/>
    </row>
    <row r="155" spans="1:30" x14ac:dyDescent="0.45">
      <c r="A155" s="8" t="s">
        <v>209</v>
      </c>
      <c r="B155" s="8" t="s">
        <v>707</v>
      </c>
      <c r="C155" s="8">
        <v>57.1</v>
      </c>
      <c r="D155" s="8" t="s">
        <v>1010</v>
      </c>
      <c r="E155" s="8" t="s">
        <v>1013</v>
      </c>
      <c r="F155" s="8" t="s">
        <v>1017</v>
      </c>
      <c r="G155" s="8" t="s">
        <v>1022</v>
      </c>
      <c r="H155" s="8">
        <v>109881.52</v>
      </c>
      <c r="I155" s="8">
        <v>548</v>
      </c>
      <c r="J155" s="8">
        <v>0</v>
      </c>
      <c r="K155" s="8">
        <v>0</v>
      </c>
      <c r="L155" s="8">
        <v>682.59</v>
      </c>
      <c r="M155" s="8">
        <v>22125.98</v>
      </c>
      <c r="N155" s="8">
        <v>79307.95</v>
      </c>
      <c r="O155" s="8" t="str">
        <f t="shared" si="17"/>
        <v>Fraud</v>
      </c>
      <c r="P155" s="8">
        <v>1</v>
      </c>
      <c r="Q155" s="8" t="s">
        <v>1026</v>
      </c>
      <c r="R155" s="8" t="s">
        <v>1026</v>
      </c>
      <c r="S155" s="8">
        <v>922</v>
      </c>
      <c r="T155" s="8">
        <v>43</v>
      </c>
      <c r="U155" s="8">
        <v>6154.76</v>
      </c>
      <c r="V155" s="8">
        <v>4.5</v>
      </c>
      <c r="W155" s="8">
        <v>7.3</v>
      </c>
      <c r="X155" s="8">
        <v>569.6</v>
      </c>
      <c r="Y155" s="20" t="str">
        <f t="shared" si="12"/>
        <v>Normal</v>
      </c>
      <c r="Z155" s="20">
        <f t="shared" si="13"/>
        <v>-0.63076259358119957</v>
      </c>
      <c r="AA155" s="20">
        <f t="shared" si="14"/>
        <v>0.11161439203599136</v>
      </c>
      <c r="AB155" s="20">
        <f t="shared" si="15"/>
        <v>0.99041555518522817</v>
      </c>
      <c r="AC155" s="20">
        <f t="shared" si="16"/>
        <v>0.81310375114479494</v>
      </c>
      <c r="AD155" s="20"/>
    </row>
    <row r="156" spans="1:30" x14ac:dyDescent="0.45">
      <c r="A156" s="8" t="s">
        <v>422</v>
      </c>
      <c r="B156" s="8" t="s">
        <v>912</v>
      </c>
      <c r="C156" s="8">
        <v>68.599999999999994</v>
      </c>
      <c r="D156" s="8" t="s">
        <v>1010</v>
      </c>
      <c r="E156" s="8" t="s">
        <v>1014</v>
      </c>
      <c r="F156" s="8" t="s">
        <v>1016</v>
      </c>
      <c r="G156" s="8" t="s">
        <v>1020</v>
      </c>
      <c r="H156" s="8">
        <v>54746.02</v>
      </c>
      <c r="I156" s="8">
        <v>720</v>
      </c>
      <c r="J156" s="8">
        <v>0</v>
      </c>
      <c r="K156" s="8">
        <v>1</v>
      </c>
      <c r="L156" s="8">
        <v>705.41</v>
      </c>
      <c r="M156" s="8">
        <v>215.46</v>
      </c>
      <c r="N156" s="8">
        <v>40376.69</v>
      </c>
      <c r="O156" s="8" t="str">
        <f t="shared" si="17"/>
        <v>Fraud</v>
      </c>
      <c r="P156" s="8">
        <v>1</v>
      </c>
      <c r="Q156" s="8" t="s">
        <v>1027</v>
      </c>
      <c r="R156" s="8" t="s">
        <v>1030</v>
      </c>
      <c r="S156" s="8">
        <v>3157</v>
      </c>
      <c r="T156" s="8">
        <v>167</v>
      </c>
      <c r="U156" s="8">
        <v>7454</v>
      </c>
      <c r="V156" s="8">
        <v>4.0999999999999996</v>
      </c>
      <c r="W156" s="8">
        <v>5.2</v>
      </c>
      <c r="X156" s="8">
        <v>546.95000000000005</v>
      </c>
      <c r="Y156" s="20" t="str">
        <f t="shared" si="12"/>
        <v>Normal</v>
      </c>
      <c r="Z156" s="20">
        <f t="shared" si="13"/>
        <v>-0.61987281599278554</v>
      </c>
      <c r="AA156" s="20">
        <f t="shared" si="14"/>
        <v>-0.98183965272934548</v>
      </c>
      <c r="AB156" s="20">
        <f t="shared" si="15"/>
        <v>-1.0290619453155754</v>
      </c>
      <c r="AC156" s="20">
        <f t="shared" si="16"/>
        <v>-1.5010151325486427</v>
      </c>
      <c r="AD156" s="20"/>
    </row>
    <row r="157" spans="1:30" x14ac:dyDescent="0.45">
      <c r="A157" s="8" t="s">
        <v>35</v>
      </c>
      <c r="B157" s="8" t="s">
        <v>535</v>
      </c>
      <c r="C157" s="8">
        <v>53.6</v>
      </c>
      <c r="D157" s="8" t="s">
        <v>1010</v>
      </c>
      <c r="E157" s="8" t="s">
        <v>1014</v>
      </c>
      <c r="F157" s="8" t="s">
        <v>1016</v>
      </c>
      <c r="G157" s="8" t="s">
        <v>1020</v>
      </c>
      <c r="H157" s="8">
        <v>70996.179999999993</v>
      </c>
      <c r="I157" s="8">
        <v>483</v>
      </c>
      <c r="J157" s="8">
        <v>0</v>
      </c>
      <c r="K157" s="8">
        <v>1</v>
      </c>
      <c r="L157" s="8">
        <v>711.7</v>
      </c>
      <c r="M157" s="8">
        <v>1681.02</v>
      </c>
      <c r="N157" s="8">
        <v>54824.08</v>
      </c>
      <c r="O157" s="8" t="str">
        <f t="shared" si="17"/>
        <v>Not Fraud</v>
      </c>
      <c r="P157" s="8">
        <v>0</v>
      </c>
      <c r="Q157" s="8" t="s">
        <v>1026</v>
      </c>
      <c r="R157" s="8" t="s">
        <v>1028</v>
      </c>
      <c r="S157" s="8">
        <v>2698</v>
      </c>
      <c r="T157" s="8">
        <v>211</v>
      </c>
      <c r="U157" s="8">
        <v>1296.18</v>
      </c>
      <c r="V157" s="8">
        <v>3.6</v>
      </c>
      <c r="W157" s="8">
        <v>7.6</v>
      </c>
      <c r="X157" s="8">
        <v>0</v>
      </c>
      <c r="Y157" s="20" t="str">
        <f t="shared" si="12"/>
        <v>Normal</v>
      </c>
      <c r="Z157" s="20">
        <f t="shared" si="13"/>
        <v>-0.61687120770921311</v>
      </c>
      <c r="AA157" s="20">
        <f t="shared" si="14"/>
        <v>-0.90870024253523374</v>
      </c>
      <c r="AB157" s="20">
        <f t="shared" si="15"/>
        <v>-0.27963387527724864</v>
      </c>
      <c r="AC157" s="20">
        <f t="shared" si="16"/>
        <v>-0.81897176450011244</v>
      </c>
      <c r="AD157" s="20"/>
    </row>
    <row r="158" spans="1:30" x14ac:dyDescent="0.45">
      <c r="A158" s="8" t="s">
        <v>362</v>
      </c>
      <c r="B158" s="8" t="s">
        <v>857</v>
      </c>
      <c r="C158" s="8">
        <v>41.5</v>
      </c>
      <c r="D158" s="8" t="s">
        <v>1010</v>
      </c>
      <c r="E158" s="8" t="s">
        <v>1014</v>
      </c>
      <c r="F158" s="8" t="s">
        <v>1019</v>
      </c>
      <c r="G158" s="8" t="s">
        <v>1022</v>
      </c>
      <c r="H158" s="8">
        <v>108600.47</v>
      </c>
      <c r="I158" s="8">
        <v>706</v>
      </c>
      <c r="J158" s="8">
        <v>0</v>
      </c>
      <c r="K158" s="8">
        <v>0</v>
      </c>
      <c r="L158" s="8">
        <v>713.54</v>
      </c>
      <c r="M158" s="8">
        <v>13886.13</v>
      </c>
      <c r="N158" s="8">
        <v>56375.519999999997</v>
      </c>
      <c r="O158" s="8" t="str">
        <f t="shared" si="17"/>
        <v>Fraud</v>
      </c>
      <c r="P158" s="8">
        <v>1</v>
      </c>
      <c r="Q158" s="8" t="s">
        <v>1027</v>
      </c>
      <c r="R158" s="8" t="s">
        <v>1028</v>
      </c>
      <c r="S158" s="8">
        <v>3999</v>
      </c>
      <c r="T158" s="8">
        <v>87</v>
      </c>
      <c r="U158" s="8">
        <v>1293.8699999999999</v>
      </c>
      <c r="V158" s="8">
        <v>7</v>
      </c>
      <c r="W158" s="8">
        <v>8.1999999999999993</v>
      </c>
      <c r="X158" s="8">
        <v>485.32</v>
      </c>
      <c r="Y158" s="20" t="str">
        <f t="shared" si="12"/>
        <v>Normal</v>
      </c>
      <c r="Z158" s="20">
        <f t="shared" si="13"/>
        <v>-0.61599315377570385</v>
      </c>
      <c r="AA158" s="20">
        <f t="shared" si="14"/>
        <v>-0.29959891147116691</v>
      </c>
      <c r="AB158" s="20">
        <f t="shared" si="15"/>
        <v>-0.1991561775768157</v>
      </c>
      <c r="AC158" s="20">
        <f t="shared" si="16"/>
        <v>0.75933617860159719</v>
      </c>
      <c r="AD158" s="20"/>
    </row>
    <row r="159" spans="1:30" x14ac:dyDescent="0.45">
      <c r="A159" s="8" t="s">
        <v>396</v>
      </c>
      <c r="B159" s="8" t="s">
        <v>890</v>
      </c>
      <c r="C159" s="8">
        <v>64.400000000000006</v>
      </c>
      <c r="D159" s="8" t="s">
        <v>1009</v>
      </c>
      <c r="E159" s="8" t="s">
        <v>1014</v>
      </c>
      <c r="F159" s="8" t="s">
        <v>1016</v>
      </c>
      <c r="G159" s="8" t="s">
        <v>1021</v>
      </c>
      <c r="H159" s="8">
        <v>70210.53</v>
      </c>
      <c r="I159" s="8">
        <v>593</v>
      </c>
      <c r="J159" s="8">
        <v>0</v>
      </c>
      <c r="K159" s="8">
        <v>0</v>
      </c>
      <c r="L159" s="8">
        <v>716.71</v>
      </c>
      <c r="M159" s="8">
        <v>18542.63</v>
      </c>
      <c r="N159" s="8">
        <v>51584.76</v>
      </c>
      <c r="O159" s="8" t="str">
        <f t="shared" si="17"/>
        <v>Fraud</v>
      </c>
      <c r="P159" s="8">
        <v>1</v>
      </c>
      <c r="Q159" s="8" t="s">
        <v>1027</v>
      </c>
      <c r="R159" s="8" t="s">
        <v>1026</v>
      </c>
      <c r="S159" s="8">
        <v>1105</v>
      </c>
      <c r="T159" s="8">
        <v>87</v>
      </c>
      <c r="U159" s="8">
        <v>7056.01</v>
      </c>
      <c r="V159" s="8">
        <v>4.2</v>
      </c>
      <c r="W159" s="8">
        <v>3.4</v>
      </c>
      <c r="X159" s="8">
        <v>490.23</v>
      </c>
      <c r="Y159" s="20" t="str">
        <f t="shared" si="12"/>
        <v>Normal</v>
      </c>
      <c r="Z159" s="20">
        <f t="shared" si="13"/>
        <v>-0.61448041955329924</v>
      </c>
      <c r="AA159" s="20">
        <f t="shared" si="14"/>
        <v>-6.7214250611917881E-2</v>
      </c>
      <c r="AB159" s="20">
        <f t="shared" si="15"/>
        <v>-0.44766680965754513</v>
      </c>
      <c r="AC159" s="20">
        <f t="shared" si="16"/>
        <v>-0.85194666272310371</v>
      </c>
      <c r="AD159" s="20"/>
    </row>
    <row r="160" spans="1:30" x14ac:dyDescent="0.45">
      <c r="A160" s="8" t="s">
        <v>503</v>
      </c>
      <c r="B160" s="8" t="s">
        <v>991</v>
      </c>
      <c r="C160" s="8">
        <v>48.1</v>
      </c>
      <c r="D160" s="8" t="s">
        <v>1009</v>
      </c>
      <c r="E160" s="8" t="s">
        <v>1015</v>
      </c>
      <c r="F160" s="8" t="s">
        <v>1019</v>
      </c>
      <c r="G160" s="8" t="s">
        <v>1023</v>
      </c>
      <c r="H160" s="8">
        <v>83543.839999999997</v>
      </c>
      <c r="I160" s="8">
        <v>593</v>
      </c>
      <c r="J160" s="8">
        <v>1</v>
      </c>
      <c r="K160" s="8">
        <v>0</v>
      </c>
      <c r="L160" s="8">
        <v>722.13</v>
      </c>
      <c r="M160" s="8">
        <v>24508.83</v>
      </c>
      <c r="N160" s="8">
        <v>47414.73</v>
      </c>
      <c r="O160" s="8" t="str">
        <f t="shared" si="17"/>
        <v>Fraud</v>
      </c>
      <c r="P160" s="8">
        <v>1</v>
      </c>
      <c r="Q160" s="8" t="s">
        <v>1025</v>
      </c>
      <c r="R160" s="8" t="s">
        <v>1029</v>
      </c>
      <c r="S160" s="8">
        <v>1633</v>
      </c>
      <c r="T160" s="8">
        <v>235</v>
      </c>
      <c r="U160" s="8">
        <v>9623.3799999999992</v>
      </c>
      <c r="V160" s="8">
        <v>2.5</v>
      </c>
      <c r="W160" s="8">
        <v>5.2</v>
      </c>
      <c r="X160" s="8">
        <v>673.38</v>
      </c>
      <c r="Y160" s="20" t="str">
        <f t="shared" si="12"/>
        <v>Normal</v>
      </c>
      <c r="Z160" s="20">
        <f t="shared" si="13"/>
        <v>-0.61189397807524482</v>
      </c>
      <c r="AA160" s="20">
        <f t="shared" si="14"/>
        <v>0.23053155924923344</v>
      </c>
      <c r="AB160" s="20">
        <f t="shared" si="15"/>
        <v>-0.66397837423093331</v>
      </c>
      <c r="AC160" s="20">
        <f t="shared" si="16"/>
        <v>-0.29232782453103978</v>
      </c>
      <c r="AD160" s="20"/>
    </row>
    <row r="161" spans="1:30" x14ac:dyDescent="0.45">
      <c r="A161" s="8" t="s">
        <v>306</v>
      </c>
      <c r="B161" s="8" t="s">
        <v>802</v>
      </c>
      <c r="C161" s="8">
        <v>31.4</v>
      </c>
      <c r="D161" s="8" t="s">
        <v>1009</v>
      </c>
      <c r="E161" s="8" t="s">
        <v>1012</v>
      </c>
      <c r="F161" s="8" t="s">
        <v>1019</v>
      </c>
      <c r="G161" s="8" t="s">
        <v>1020</v>
      </c>
      <c r="H161" s="8">
        <v>46360.59</v>
      </c>
      <c r="I161" s="8">
        <v>663</v>
      </c>
      <c r="J161" s="8">
        <v>1</v>
      </c>
      <c r="K161" s="8">
        <v>0</v>
      </c>
      <c r="L161" s="8">
        <v>727.97</v>
      </c>
      <c r="M161" s="8">
        <v>22472.03</v>
      </c>
      <c r="N161" s="8">
        <v>34848.44</v>
      </c>
      <c r="O161" s="8" t="str">
        <f t="shared" si="17"/>
        <v>Fraud</v>
      </c>
      <c r="P161" s="8">
        <v>1</v>
      </c>
      <c r="Q161" s="8" t="s">
        <v>1026</v>
      </c>
      <c r="R161" s="8" t="s">
        <v>1029</v>
      </c>
      <c r="S161" s="8">
        <v>3713</v>
      </c>
      <c r="T161" s="8">
        <v>291</v>
      </c>
      <c r="U161" s="8">
        <v>884.88</v>
      </c>
      <c r="V161" s="8">
        <v>1.4</v>
      </c>
      <c r="W161" s="8">
        <v>7.6</v>
      </c>
      <c r="X161" s="8">
        <v>690.57</v>
      </c>
      <c r="Y161" s="20" t="str">
        <f t="shared" si="12"/>
        <v>Normal</v>
      </c>
      <c r="Z161" s="20">
        <f t="shared" si="13"/>
        <v>-0.60910711124280226</v>
      </c>
      <c r="AA161" s="20">
        <f t="shared" si="14"/>
        <v>0.12888416802446831</v>
      </c>
      <c r="AB161" s="20">
        <f t="shared" si="15"/>
        <v>-1.3158283251384624</v>
      </c>
      <c r="AC161" s="20">
        <f t="shared" si="16"/>
        <v>-1.8529640930348894</v>
      </c>
      <c r="AD161" s="20"/>
    </row>
    <row r="162" spans="1:30" x14ac:dyDescent="0.45">
      <c r="A162" s="8" t="s">
        <v>309</v>
      </c>
      <c r="B162" s="8" t="s">
        <v>805</v>
      </c>
      <c r="C162" s="8">
        <v>47.7</v>
      </c>
      <c r="D162" s="8" t="s">
        <v>1010</v>
      </c>
      <c r="E162" s="8" t="s">
        <v>1011</v>
      </c>
      <c r="F162" s="8" t="s">
        <v>1016</v>
      </c>
      <c r="G162" s="8" t="s">
        <v>1022</v>
      </c>
      <c r="H162" s="8">
        <v>99295.11</v>
      </c>
      <c r="I162" s="8">
        <v>574</v>
      </c>
      <c r="J162" s="8">
        <v>1</v>
      </c>
      <c r="K162" s="8">
        <v>1</v>
      </c>
      <c r="L162" s="8">
        <v>733.7</v>
      </c>
      <c r="M162" s="8">
        <v>28542.79</v>
      </c>
      <c r="N162" s="8">
        <v>79746.69</v>
      </c>
      <c r="O162" s="8" t="str">
        <f t="shared" si="17"/>
        <v>Not Fraud</v>
      </c>
      <c r="P162" s="8">
        <v>0</v>
      </c>
      <c r="Q162" s="8" t="s">
        <v>1027</v>
      </c>
      <c r="R162" s="8" t="s">
        <v>1030</v>
      </c>
      <c r="S162" s="8">
        <v>3494</v>
      </c>
      <c r="T162" s="8">
        <v>1</v>
      </c>
      <c r="U162" s="8">
        <v>7327.09</v>
      </c>
      <c r="V162" s="8">
        <v>5.2</v>
      </c>
      <c r="W162" s="8">
        <v>2.2000000000000002</v>
      </c>
      <c r="X162" s="8">
        <v>0</v>
      </c>
      <c r="Y162" s="20" t="str">
        <f t="shared" si="12"/>
        <v>Normal</v>
      </c>
      <c r="Z162" s="20">
        <f t="shared" si="13"/>
        <v>-0.60637273676508041</v>
      </c>
      <c r="AA162" s="20">
        <f t="shared" si="14"/>
        <v>0.43184809023168286</v>
      </c>
      <c r="AB162" s="20">
        <f t="shared" si="15"/>
        <v>1.0131742729500715</v>
      </c>
      <c r="AC162" s="20">
        <f t="shared" si="16"/>
        <v>0.36877638871004698</v>
      </c>
      <c r="AD162" s="20"/>
    </row>
    <row r="163" spans="1:30" x14ac:dyDescent="0.45">
      <c r="A163" s="8" t="s">
        <v>191</v>
      </c>
      <c r="B163" s="8" t="s">
        <v>689</v>
      </c>
      <c r="C163" s="8">
        <v>46.3</v>
      </c>
      <c r="D163" s="8" t="s">
        <v>1010</v>
      </c>
      <c r="E163" s="8" t="s">
        <v>1012</v>
      </c>
      <c r="F163" s="8" t="s">
        <v>1019</v>
      </c>
      <c r="G163" s="8" t="s">
        <v>1020</v>
      </c>
      <c r="H163" s="8">
        <v>104902.15</v>
      </c>
      <c r="I163" s="8">
        <v>627</v>
      </c>
      <c r="J163" s="8">
        <v>0</v>
      </c>
      <c r="K163" s="8">
        <v>0</v>
      </c>
      <c r="L163" s="8">
        <v>738.99</v>
      </c>
      <c r="M163" s="8">
        <v>23556.39</v>
      </c>
      <c r="N163" s="8">
        <v>46837.67</v>
      </c>
      <c r="O163" s="8" t="str">
        <f t="shared" si="17"/>
        <v>Fraud</v>
      </c>
      <c r="P163" s="8">
        <v>1</v>
      </c>
      <c r="Q163" s="8" t="s">
        <v>1026</v>
      </c>
      <c r="R163" s="8" t="s">
        <v>1029</v>
      </c>
      <c r="S163" s="8">
        <v>845</v>
      </c>
      <c r="T163" s="8">
        <v>32</v>
      </c>
      <c r="U163" s="8">
        <v>9340.17</v>
      </c>
      <c r="V163" s="8">
        <v>4.5</v>
      </c>
      <c r="W163" s="8">
        <v>6.4</v>
      </c>
      <c r="X163" s="8">
        <v>481.3</v>
      </c>
      <c r="Y163" s="20" t="str">
        <f t="shared" si="12"/>
        <v>Normal</v>
      </c>
      <c r="Z163" s="20">
        <f t="shared" si="13"/>
        <v>-0.6038483317062413</v>
      </c>
      <c r="AA163" s="20">
        <f t="shared" si="14"/>
        <v>0.18299962616885471</v>
      </c>
      <c r="AB163" s="20">
        <f t="shared" si="15"/>
        <v>-0.69391215203414347</v>
      </c>
      <c r="AC163" s="20">
        <f t="shared" si="16"/>
        <v>0.60411219133493355</v>
      </c>
      <c r="AD163" s="20"/>
    </row>
    <row r="164" spans="1:30" x14ac:dyDescent="0.45">
      <c r="A164" s="8" t="s">
        <v>414</v>
      </c>
      <c r="B164" s="8" t="s">
        <v>904</v>
      </c>
      <c r="C164" s="8">
        <v>57.4</v>
      </c>
      <c r="D164" s="8" t="s">
        <v>1010</v>
      </c>
      <c r="E164" s="8" t="s">
        <v>1014</v>
      </c>
      <c r="F164" s="8" t="s">
        <v>1019</v>
      </c>
      <c r="G164" s="8" t="s">
        <v>1020</v>
      </c>
      <c r="H164" s="8">
        <v>64010.37</v>
      </c>
      <c r="I164" s="8">
        <v>758</v>
      </c>
      <c r="J164" s="8">
        <v>1</v>
      </c>
      <c r="K164" s="8">
        <v>0</v>
      </c>
      <c r="L164" s="8">
        <v>767.85</v>
      </c>
      <c r="M164" s="8">
        <v>19959.560000000001</v>
      </c>
      <c r="N164" s="8">
        <v>38283.5</v>
      </c>
      <c r="O164" s="8" t="str">
        <f t="shared" si="17"/>
        <v>Not Fraud</v>
      </c>
      <c r="P164" s="8">
        <v>0</v>
      </c>
      <c r="Q164" s="8" t="s">
        <v>1027</v>
      </c>
      <c r="R164" s="8" t="s">
        <v>1026</v>
      </c>
      <c r="S164" s="8">
        <v>4378</v>
      </c>
      <c r="T164" s="8">
        <v>199</v>
      </c>
      <c r="U164" s="8">
        <v>8034.6</v>
      </c>
      <c r="V164" s="8">
        <v>2.1</v>
      </c>
      <c r="W164" s="8">
        <v>3.6</v>
      </c>
      <c r="X164" s="8">
        <v>0</v>
      </c>
      <c r="Y164" s="20" t="str">
        <f t="shared" si="12"/>
        <v>Normal</v>
      </c>
      <c r="Z164" s="20">
        <f t="shared" si="13"/>
        <v>-0.59007624664043812</v>
      </c>
      <c r="AA164" s="20">
        <f t="shared" si="14"/>
        <v>3.4982582490926781E-3</v>
      </c>
      <c r="AB164" s="20">
        <f t="shared" si="15"/>
        <v>-1.1376417885899333</v>
      </c>
      <c r="AC164" s="20">
        <f t="shared" si="16"/>
        <v>-1.1121765933108501</v>
      </c>
      <c r="AD164" s="20"/>
    </row>
    <row r="165" spans="1:30" x14ac:dyDescent="0.45">
      <c r="A165" s="8" t="s">
        <v>337</v>
      </c>
      <c r="B165" s="8" t="s">
        <v>833</v>
      </c>
      <c r="C165" s="8">
        <v>69.599999999999994</v>
      </c>
      <c r="D165" s="8" t="s">
        <v>1009</v>
      </c>
      <c r="E165" s="8" t="s">
        <v>1011</v>
      </c>
      <c r="F165" s="8" t="s">
        <v>1019</v>
      </c>
      <c r="G165" s="8" t="s">
        <v>1022</v>
      </c>
      <c r="H165" s="8">
        <v>86501.31</v>
      </c>
      <c r="I165" s="8">
        <v>620</v>
      </c>
      <c r="J165" s="8">
        <v>0</v>
      </c>
      <c r="K165" s="8">
        <v>0</v>
      </c>
      <c r="L165" s="8">
        <v>769.05</v>
      </c>
      <c r="M165" s="8">
        <v>47993.53</v>
      </c>
      <c r="N165" s="8">
        <v>47170.26</v>
      </c>
      <c r="O165" s="8" t="str">
        <f t="shared" si="17"/>
        <v>Not Fraud</v>
      </c>
      <c r="P165" s="8">
        <v>0</v>
      </c>
      <c r="Q165" s="8" t="s">
        <v>1025</v>
      </c>
      <c r="R165" s="8" t="s">
        <v>1026</v>
      </c>
      <c r="S165" s="8">
        <v>4406</v>
      </c>
      <c r="T165" s="8">
        <v>244</v>
      </c>
      <c r="U165" s="8">
        <v>492.76</v>
      </c>
      <c r="V165" s="8">
        <v>2.7</v>
      </c>
      <c r="W165" s="8">
        <v>5.4</v>
      </c>
      <c r="X165" s="8">
        <v>0</v>
      </c>
      <c r="Y165" s="20" t="str">
        <f t="shared" si="12"/>
        <v>Normal</v>
      </c>
      <c r="Z165" s="20">
        <f t="shared" si="13"/>
        <v>-0.58950360277075819</v>
      </c>
      <c r="AA165" s="20">
        <f t="shared" si="14"/>
        <v>1.4025457426232704</v>
      </c>
      <c r="AB165" s="20">
        <f t="shared" si="15"/>
        <v>-0.67665974299596776</v>
      </c>
      <c r="AC165" s="20">
        <f t="shared" si="16"/>
        <v>-0.16819841290047813</v>
      </c>
      <c r="AD165" s="20"/>
    </row>
    <row r="166" spans="1:30" x14ac:dyDescent="0.45">
      <c r="A166" s="8" t="s">
        <v>83</v>
      </c>
      <c r="B166" s="8" t="s">
        <v>583</v>
      </c>
      <c r="C166" s="8">
        <v>42.8</v>
      </c>
      <c r="D166" s="8" t="s">
        <v>1010</v>
      </c>
      <c r="E166" s="8" t="s">
        <v>1013</v>
      </c>
      <c r="F166" s="8" t="s">
        <v>1017</v>
      </c>
      <c r="G166" s="8" t="s">
        <v>1020</v>
      </c>
      <c r="H166" s="8">
        <v>94886.82</v>
      </c>
      <c r="I166" s="8">
        <v>676</v>
      </c>
      <c r="J166" s="8">
        <v>1</v>
      </c>
      <c r="K166" s="8">
        <v>0</v>
      </c>
      <c r="L166" s="8">
        <v>771.37</v>
      </c>
      <c r="M166" s="8">
        <v>34966.22</v>
      </c>
      <c r="N166" s="8">
        <v>72431.44</v>
      </c>
      <c r="O166" s="8" t="str">
        <f t="shared" si="17"/>
        <v>Not Fraud</v>
      </c>
      <c r="P166" s="8">
        <v>0</v>
      </c>
      <c r="Q166" s="8" t="s">
        <v>1024</v>
      </c>
      <c r="R166" s="8" t="s">
        <v>1030</v>
      </c>
      <c r="S166" s="8">
        <v>1969</v>
      </c>
      <c r="T166" s="8">
        <v>155</v>
      </c>
      <c r="U166" s="8">
        <v>2730.13</v>
      </c>
      <c r="V166" s="8">
        <v>6.1</v>
      </c>
      <c r="W166" s="8">
        <v>8.5</v>
      </c>
      <c r="X166" s="8">
        <v>0</v>
      </c>
      <c r="Y166" s="20" t="str">
        <f t="shared" si="12"/>
        <v>Normal</v>
      </c>
      <c r="Z166" s="20">
        <f t="shared" si="13"/>
        <v>-0.58839649128937688</v>
      </c>
      <c r="AA166" s="20">
        <f t="shared" si="14"/>
        <v>0.75241216241102904</v>
      </c>
      <c r="AB166" s="20">
        <f t="shared" si="15"/>
        <v>0.63371101423359255</v>
      </c>
      <c r="AC166" s="20">
        <f t="shared" si="16"/>
        <v>0.18375390530467423</v>
      </c>
      <c r="AD166" s="20"/>
    </row>
    <row r="167" spans="1:30" x14ac:dyDescent="0.45">
      <c r="A167" s="8" t="s">
        <v>311</v>
      </c>
      <c r="B167" s="8" t="s">
        <v>807</v>
      </c>
      <c r="C167" s="8">
        <v>54.2</v>
      </c>
      <c r="D167" s="8" t="s">
        <v>1010</v>
      </c>
      <c r="E167" s="8" t="s">
        <v>1013</v>
      </c>
      <c r="F167" s="8" t="s">
        <v>1016</v>
      </c>
      <c r="G167" s="8" t="s">
        <v>1021</v>
      </c>
      <c r="H167" s="8">
        <v>87509.68</v>
      </c>
      <c r="I167" s="8">
        <v>545</v>
      </c>
      <c r="J167" s="8">
        <v>1</v>
      </c>
      <c r="K167" s="8">
        <v>1</v>
      </c>
      <c r="L167" s="8">
        <v>780.6</v>
      </c>
      <c r="M167" s="8">
        <v>10575.81</v>
      </c>
      <c r="N167" s="8">
        <v>53603.05</v>
      </c>
      <c r="O167" s="8" t="str">
        <f t="shared" si="17"/>
        <v>Not Fraud</v>
      </c>
      <c r="P167" s="8">
        <v>0</v>
      </c>
      <c r="Q167" s="8" t="s">
        <v>1026</v>
      </c>
      <c r="R167" s="8" t="s">
        <v>1028</v>
      </c>
      <c r="S167" s="8">
        <v>650</v>
      </c>
      <c r="T167" s="8">
        <v>67</v>
      </c>
      <c r="U167" s="8">
        <v>6800.46</v>
      </c>
      <c r="V167" s="8">
        <v>3.9</v>
      </c>
      <c r="W167" s="8">
        <v>2.6</v>
      </c>
      <c r="X167" s="8">
        <v>0</v>
      </c>
      <c r="Y167" s="20" t="str">
        <f t="shared" si="12"/>
        <v>Normal</v>
      </c>
      <c r="Z167" s="20">
        <f t="shared" si="13"/>
        <v>-0.58399190552508851</v>
      </c>
      <c r="AA167" s="20">
        <f t="shared" si="14"/>
        <v>-0.46480187303792064</v>
      </c>
      <c r="AB167" s="20">
        <f t="shared" si="15"/>
        <v>-0.34297224686954986</v>
      </c>
      <c r="AC167" s="20">
        <f t="shared" si="16"/>
        <v>-0.12587562524552004</v>
      </c>
      <c r="AD167" s="20"/>
    </row>
    <row r="168" spans="1:30" x14ac:dyDescent="0.45">
      <c r="A168" s="8" t="s">
        <v>166</v>
      </c>
      <c r="B168" s="8" t="s">
        <v>664</v>
      </c>
      <c r="C168" s="8">
        <v>52.8</v>
      </c>
      <c r="D168" s="8" t="s">
        <v>1010</v>
      </c>
      <c r="E168" s="8" t="s">
        <v>1011</v>
      </c>
      <c r="F168" s="8" t="s">
        <v>1016</v>
      </c>
      <c r="G168" s="8" t="s">
        <v>1021</v>
      </c>
      <c r="H168" s="8">
        <v>123881.69</v>
      </c>
      <c r="I168" s="8">
        <v>686</v>
      </c>
      <c r="J168" s="8">
        <v>0</v>
      </c>
      <c r="K168" s="8">
        <v>0</v>
      </c>
      <c r="L168" s="8">
        <v>803.69</v>
      </c>
      <c r="M168" s="8">
        <v>15834.12</v>
      </c>
      <c r="N168" s="8">
        <v>84778.93</v>
      </c>
      <c r="O168" s="8" t="str">
        <f t="shared" si="17"/>
        <v>Not Fraud</v>
      </c>
      <c r="P168" s="8">
        <v>0</v>
      </c>
      <c r="Q168" s="8" t="s">
        <v>1027</v>
      </c>
      <c r="R168" s="8" t="s">
        <v>1028</v>
      </c>
      <c r="S168" s="8">
        <v>4624</v>
      </c>
      <c r="T168" s="8">
        <v>230</v>
      </c>
      <c r="U168" s="8">
        <v>6483.84</v>
      </c>
      <c r="V168" s="8">
        <v>6</v>
      </c>
      <c r="W168" s="8">
        <v>3</v>
      </c>
      <c r="X168" s="8">
        <v>0</v>
      </c>
      <c r="Y168" s="20" t="str">
        <f t="shared" si="12"/>
        <v>Normal</v>
      </c>
      <c r="Z168" s="20">
        <f t="shared" si="13"/>
        <v>-0.5729732830659966</v>
      </c>
      <c r="AA168" s="20">
        <f t="shared" si="14"/>
        <v>-0.20238362198180607</v>
      </c>
      <c r="AB168" s="20">
        <f t="shared" si="15"/>
        <v>1.2742111738138027</v>
      </c>
      <c r="AC168" s="20">
        <f t="shared" si="16"/>
        <v>1.4007116947005502</v>
      </c>
      <c r="AD168" s="20"/>
    </row>
    <row r="169" spans="1:30" x14ac:dyDescent="0.45">
      <c r="A169" s="8" t="s">
        <v>296</v>
      </c>
      <c r="B169" s="8" t="s">
        <v>792</v>
      </c>
      <c r="C169" s="8">
        <v>50.2</v>
      </c>
      <c r="D169" s="8" t="s">
        <v>1009</v>
      </c>
      <c r="E169" s="8" t="s">
        <v>1014</v>
      </c>
      <c r="F169" s="8" t="s">
        <v>1016</v>
      </c>
      <c r="G169" s="8" t="s">
        <v>1022</v>
      </c>
      <c r="H169" s="8">
        <v>96999.41</v>
      </c>
      <c r="I169" s="8">
        <v>659</v>
      </c>
      <c r="J169" s="8">
        <v>1</v>
      </c>
      <c r="K169" s="8">
        <v>1</v>
      </c>
      <c r="L169" s="8">
        <v>810.83</v>
      </c>
      <c r="M169" s="8">
        <v>6771.68</v>
      </c>
      <c r="N169" s="8">
        <v>53645.7</v>
      </c>
      <c r="O169" s="8" t="str">
        <f t="shared" si="17"/>
        <v>Not Fraud</v>
      </c>
      <c r="P169" s="8">
        <v>0</v>
      </c>
      <c r="Q169" s="8" t="s">
        <v>1024</v>
      </c>
      <c r="R169" s="8" t="s">
        <v>1028</v>
      </c>
      <c r="S169" s="8">
        <v>4166</v>
      </c>
      <c r="T169" s="8">
        <v>260</v>
      </c>
      <c r="U169" s="8">
        <v>4160.24</v>
      </c>
      <c r="V169" s="8">
        <v>6.2</v>
      </c>
      <c r="W169" s="8">
        <v>5.2</v>
      </c>
      <c r="X169" s="8">
        <v>0</v>
      </c>
      <c r="Y169" s="20" t="str">
        <f t="shared" si="12"/>
        <v>Normal</v>
      </c>
      <c r="Z169" s="20">
        <f t="shared" si="13"/>
        <v>-0.56956605204140076</v>
      </c>
      <c r="AA169" s="20">
        <f t="shared" si="14"/>
        <v>-0.65464863775702176</v>
      </c>
      <c r="AB169" s="20">
        <f t="shared" si="15"/>
        <v>-0.34075986752718213</v>
      </c>
      <c r="AC169" s="20">
        <f t="shared" si="16"/>
        <v>0.27242244757783601</v>
      </c>
      <c r="AD169" s="20"/>
    </row>
    <row r="170" spans="1:30" x14ac:dyDescent="0.45">
      <c r="A170" s="8" t="s">
        <v>302</v>
      </c>
      <c r="B170" s="8" t="s">
        <v>798</v>
      </c>
      <c r="C170" s="8">
        <v>44.2</v>
      </c>
      <c r="D170" s="8" t="s">
        <v>1009</v>
      </c>
      <c r="E170" s="8" t="s">
        <v>1013</v>
      </c>
      <c r="F170" s="8" t="s">
        <v>1018</v>
      </c>
      <c r="G170" s="8" t="s">
        <v>1023</v>
      </c>
      <c r="H170" s="8">
        <v>98577.76</v>
      </c>
      <c r="I170" s="8">
        <v>594</v>
      </c>
      <c r="J170" s="8">
        <v>0</v>
      </c>
      <c r="K170" s="8">
        <v>1</v>
      </c>
      <c r="L170" s="8">
        <v>813.07</v>
      </c>
      <c r="M170" s="8">
        <v>4985.93</v>
      </c>
      <c r="N170" s="8">
        <v>82802.98</v>
      </c>
      <c r="O170" s="8" t="str">
        <f t="shared" si="17"/>
        <v>Not Fraud</v>
      </c>
      <c r="P170" s="8">
        <v>0</v>
      </c>
      <c r="Q170" s="8" t="s">
        <v>1024</v>
      </c>
      <c r="R170" s="8" t="s">
        <v>1029</v>
      </c>
      <c r="S170" s="8">
        <v>3501</v>
      </c>
      <c r="T170" s="8">
        <v>184</v>
      </c>
      <c r="U170" s="8">
        <v>456.17</v>
      </c>
      <c r="V170" s="8">
        <v>3.7</v>
      </c>
      <c r="W170" s="8">
        <v>6.4</v>
      </c>
      <c r="X170" s="8">
        <v>0</v>
      </c>
      <c r="Y170" s="20" t="str">
        <f t="shared" si="12"/>
        <v>Normal</v>
      </c>
      <c r="Z170" s="20">
        <f t="shared" si="13"/>
        <v>-0.56849711681799819</v>
      </c>
      <c r="AA170" s="20">
        <f t="shared" si="14"/>
        <v>-0.74376726937506188</v>
      </c>
      <c r="AB170" s="20">
        <f t="shared" si="15"/>
        <v>1.1717129097680319</v>
      </c>
      <c r="AC170" s="20">
        <f t="shared" si="16"/>
        <v>0.33866814300233594</v>
      </c>
      <c r="AD170" s="20"/>
    </row>
    <row r="171" spans="1:30" x14ac:dyDescent="0.45">
      <c r="A171" s="8" t="s">
        <v>132</v>
      </c>
      <c r="B171" s="8" t="s">
        <v>630</v>
      </c>
      <c r="C171" s="8">
        <v>48.9</v>
      </c>
      <c r="D171" s="8" t="s">
        <v>1009</v>
      </c>
      <c r="E171" s="8" t="s">
        <v>1014</v>
      </c>
      <c r="F171" s="8" t="s">
        <v>1016</v>
      </c>
      <c r="G171" s="8" t="s">
        <v>1022</v>
      </c>
      <c r="H171" s="8">
        <v>125820.56</v>
      </c>
      <c r="I171" s="8">
        <v>633</v>
      </c>
      <c r="J171" s="8">
        <v>0</v>
      </c>
      <c r="K171" s="8">
        <v>0</v>
      </c>
      <c r="L171" s="8">
        <v>817.16</v>
      </c>
      <c r="M171" s="8">
        <v>1606.58</v>
      </c>
      <c r="N171" s="8">
        <v>74166.080000000002</v>
      </c>
      <c r="O171" s="8" t="str">
        <f t="shared" si="17"/>
        <v>Not Fraud</v>
      </c>
      <c r="P171" s="8">
        <v>0</v>
      </c>
      <c r="Q171" s="8" t="s">
        <v>1025</v>
      </c>
      <c r="R171" s="8" t="s">
        <v>1028</v>
      </c>
      <c r="S171" s="8">
        <v>1758</v>
      </c>
      <c r="T171" s="8">
        <v>297</v>
      </c>
      <c r="U171" s="8">
        <v>8747.31</v>
      </c>
      <c r="V171" s="8">
        <v>1.9</v>
      </c>
      <c r="W171" s="8">
        <v>7</v>
      </c>
      <c r="X171" s="8">
        <v>0</v>
      </c>
      <c r="Y171" s="20" t="str">
        <f t="shared" si="12"/>
        <v>Normal</v>
      </c>
      <c r="Z171" s="20">
        <f t="shared" si="13"/>
        <v>-0.5665453556288389</v>
      </c>
      <c r="AA171" s="20">
        <f t="shared" si="14"/>
        <v>-0.91241520316110347</v>
      </c>
      <c r="AB171" s="20">
        <f t="shared" si="15"/>
        <v>0.72369182788998887</v>
      </c>
      <c r="AC171" s="20">
        <f t="shared" si="16"/>
        <v>1.4820889503711561</v>
      </c>
      <c r="AD171" s="20"/>
    </row>
    <row r="172" spans="1:30" x14ac:dyDescent="0.45">
      <c r="A172" s="8" t="s">
        <v>442</v>
      </c>
      <c r="B172" s="8" t="s">
        <v>932</v>
      </c>
      <c r="C172" s="8">
        <v>51</v>
      </c>
      <c r="D172" s="8" t="s">
        <v>1009</v>
      </c>
      <c r="E172" s="8" t="s">
        <v>1014</v>
      </c>
      <c r="F172" s="8" t="s">
        <v>1016</v>
      </c>
      <c r="G172" s="8" t="s">
        <v>1020</v>
      </c>
      <c r="H172" s="8">
        <v>79943.19</v>
      </c>
      <c r="I172" s="8">
        <v>568</v>
      </c>
      <c r="J172" s="8">
        <v>0</v>
      </c>
      <c r="K172" s="8">
        <v>0</v>
      </c>
      <c r="L172" s="8">
        <v>822.6</v>
      </c>
      <c r="M172" s="8">
        <v>4355.97</v>
      </c>
      <c r="N172" s="8">
        <v>65004</v>
      </c>
      <c r="O172" s="8" t="str">
        <f t="shared" si="17"/>
        <v>Not Fraud</v>
      </c>
      <c r="P172" s="8">
        <v>0</v>
      </c>
      <c r="Q172" s="8" t="s">
        <v>1027</v>
      </c>
      <c r="R172" s="8" t="s">
        <v>1028</v>
      </c>
      <c r="S172" s="8">
        <v>59</v>
      </c>
      <c r="T172" s="8">
        <v>121</v>
      </c>
      <c r="U172" s="8">
        <v>7443.83</v>
      </c>
      <c r="V172" s="8">
        <v>2.9</v>
      </c>
      <c r="W172" s="8">
        <v>5</v>
      </c>
      <c r="X172" s="8">
        <v>0</v>
      </c>
      <c r="Y172" s="20" t="str">
        <f t="shared" si="12"/>
        <v>Normal</v>
      </c>
      <c r="Z172" s="20">
        <f t="shared" si="13"/>
        <v>-0.56394937008628976</v>
      </c>
      <c r="AA172" s="20">
        <f t="shared" si="14"/>
        <v>-0.77520569758399394</v>
      </c>
      <c r="AB172" s="20">
        <f t="shared" si="15"/>
        <v>0.24842813445216003</v>
      </c>
      <c r="AC172" s="20">
        <f t="shared" si="16"/>
        <v>-0.44345245672936506</v>
      </c>
      <c r="AD172" s="20"/>
    </row>
    <row r="173" spans="1:30" x14ac:dyDescent="0.45">
      <c r="A173" s="8" t="s">
        <v>487</v>
      </c>
      <c r="B173" s="8" t="s">
        <v>976</v>
      </c>
      <c r="C173" s="8">
        <v>48.3</v>
      </c>
      <c r="D173" s="8" t="s">
        <v>1009</v>
      </c>
      <c r="E173" s="8" t="s">
        <v>1014</v>
      </c>
      <c r="F173" s="8" t="s">
        <v>1017</v>
      </c>
      <c r="G173" s="8" t="s">
        <v>1020</v>
      </c>
      <c r="H173" s="8">
        <v>94751.45</v>
      </c>
      <c r="I173" s="8">
        <v>704</v>
      </c>
      <c r="J173" s="8">
        <v>1</v>
      </c>
      <c r="K173" s="8">
        <v>0</v>
      </c>
      <c r="L173" s="8">
        <v>823.4</v>
      </c>
      <c r="M173" s="8">
        <v>22514.74</v>
      </c>
      <c r="N173" s="8">
        <v>73869.58</v>
      </c>
      <c r="O173" s="8" t="str">
        <f t="shared" si="17"/>
        <v>Fraud</v>
      </c>
      <c r="P173" s="8">
        <v>1</v>
      </c>
      <c r="Q173" s="8" t="s">
        <v>1027</v>
      </c>
      <c r="R173" s="8" t="s">
        <v>1026</v>
      </c>
      <c r="S173" s="8">
        <v>1909</v>
      </c>
      <c r="T173" s="8">
        <v>80</v>
      </c>
      <c r="U173" s="8">
        <v>2404.69</v>
      </c>
      <c r="V173" s="8">
        <v>3</v>
      </c>
      <c r="W173" s="8">
        <v>9.8000000000000007</v>
      </c>
      <c r="X173" s="8">
        <v>802.39</v>
      </c>
      <c r="Y173" s="20" t="str">
        <f t="shared" si="12"/>
        <v>Normal</v>
      </c>
      <c r="Z173" s="20">
        <f t="shared" si="13"/>
        <v>-0.56356760750650325</v>
      </c>
      <c r="AA173" s="20">
        <f t="shared" si="14"/>
        <v>0.131015629178833</v>
      </c>
      <c r="AB173" s="20">
        <f t="shared" si="15"/>
        <v>0.70831151194597652</v>
      </c>
      <c r="AC173" s="20">
        <f t="shared" si="16"/>
        <v>0.17807222520227917</v>
      </c>
      <c r="AD173" s="20"/>
    </row>
    <row r="174" spans="1:30" x14ac:dyDescent="0.45">
      <c r="A174" s="8" t="s">
        <v>181</v>
      </c>
      <c r="B174" s="8" t="s">
        <v>679</v>
      </c>
      <c r="C174" s="8">
        <v>32.1</v>
      </c>
      <c r="D174" s="8" t="s">
        <v>1009</v>
      </c>
      <c r="E174" s="8" t="s">
        <v>1014</v>
      </c>
      <c r="F174" s="8" t="s">
        <v>1019</v>
      </c>
      <c r="G174" s="8" t="s">
        <v>1020</v>
      </c>
      <c r="H174" s="8">
        <v>76262.98</v>
      </c>
      <c r="I174" s="8">
        <v>603</v>
      </c>
      <c r="J174" s="8">
        <v>1</v>
      </c>
      <c r="K174" s="8">
        <v>0</v>
      </c>
      <c r="L174" s="8">
        <v>826.51</v>
      </c>
      <c r="M174" s="8">
        <v>3990.78</v>
      </c>
      <c r="N174" s="8">
        <v>49518.23</v>
      </c>
      <c r="O174" s="8" t="str">
        <f t="shared" si="17"/>
        <v>Fraud</v>
      </c>
      <c r="P174" s="8">
        <v>1</v>
      </c>
      <c r="Q174" s="8" t="s">
        <v>1027</v>
      </c>
      <c r="R174" s="8" t="s">
        <v>1030</v>
      </c>
      <c r="S174" s="8">
        <v>3017</v>
      </c>
      <c r="T174" s="8">
        <v>271</v>
      </c>
      <c r="U174" s="8">
        <v>2875.29</v>
      </c>
      <c r="V174" s="8">
        <v>3.9</v>
      </c>
      <c r="W174" s="8">
        <v>7.5</v>
      </c>
      <c r="X174" s="8">
        <v>439.33</v>
      </c>
      <c r="Y174" s="20" t="str">
        <f t="shared" si="12"/>
        <v>Normal</v>
      </c>
      <c r="Z174" s="20">
        <f t="shared" si="13"/>
        <v>-0.56208350547758257</v>
      </c>
      <c r="AA174" s="20">
        <f t="shared" si="14"/>
        <v>-0.79343066360980508</v>
      </c>
      <c r="AB174" s="20">
        <f t="shared" si="15"/>
        <v>-0.5548637213195341</v>
      </c>
      <c r="AC174" s="20">
        <f t="shared" si="16"/>
        <v>-0.59791634037887287</v>
      </c>
      <c r="AD174" s="20"/>
    </row>
    <row r="175" spans="1:30" x14ac:dyDescent="0.45">
      <c r="A175" s="8" t="s">
        <v>327</v>
      </c>
      <c r="B175" s="8" t="s">
        <v>823</v>
      </c>
      <c r="C175" s="8">
        <v>49.7</v>
      </c>
      <c r="D175" s="8" t="s">
        <v>1010</v>
      </c>
      <c r="E175" s="8" t="s">
        <v>1012</v>
      </c>
      <c r="F175" s="8" t="s">
        <v>1018</v>
      </c>
      <c r="G175" s="8" t="s">
        <v>1020</v>
      </c>
      <c r="H175" s="8">
        <v>92766.94</v>
      </c>
      <c r="I175" s="8">
        <v>721</v>
      </c>
      <c r="J175" s="8">
        <v>1</v>
      </c>
      <c r="K175" s="8">
        <v>0</v>
      </c>
      <c r="L175" s="8">
        <v>827.2</v>
      </c>
      <c r="M175" s="8">
        <v>14041.98</v>
      </c>
      <c r="N175" s="8">
        <v>51415.11</v>
      </c>
      <c r="O175" s="8" t="str">
        <f t="shared" si="17"/>
        <v>Not Fraud</v>
      </c>
      <c r="P175" s="8">
        <v>0</v>
      </c>
      <c r="Q175" s="8" t="s">
        <v>1025</v>
      </c>
      <c r="R175" s="8" t="s">
        <v>1028</v>
      </c>
      <c r="S175" s="8">
        <v>4354</v>
      </c>
      <c r="T175" s="8">
        <v>213</v>
      </c>
      <c r="U175" s="8">
        <v>958.59</v>
      </c>
      <c r="V175" s="8">
        <v>5</v>
      </c>
      <c r="W175" s="8">
        <v>4</v>
      </c>
      <c r="X175" s="8">
        <v>0</v>
      </c>
      <c r="Y175" s="20" t="str">
        <f t="shared" si="12"/>
        <v>Normal</v>
      </c>
      <c r="Z175" s="20">
        <f t="shared" si="13"/>
        <v>-0.56175423525251655</v>
      </c>
      <c r="AA175" s="20">
        <f t="shared" si="14"/>
        <v>-0.29182114933331355</v>
      </c>
      <c r="AB175" s="20">
        <f t="shared" si="15"/>
        <v>-0.45646704776851216</v>
      </c>
      <c r="AC175" s="20">
        <f t="shared" si="16"/>
        <v>9.4779390896279375E-2</v>
      </c>
      <c r="AD175" s="20"/>
    </row>
    <row r="176" spans="1:30" x14ac:dyDescent="0.45">
      <c r="A176" s="8" t="s">
        <v>180</v>
      </c>
      <c r="B176" s="8" t="s">
        <v>678</v>
      </c>
      <c r="C176" s="8">
        <v>57.1</v>
      </c>
      <c r="D176" s="8" t="s">
        <v>1009</v>
      </c>
      <c r="E176" s="8" t="s">
        <v>1014</v>
      </c>
      <c r="F176" s="8" t="s">
        <v>1017</v>
      </c>
      <c r="G176" s="8" t="s">
        <v>1023</v>
      </c>
      <c r="H176" s="8">
        <v>62936.78</v>
      </c>
      <c r="I176" s="8">
        <v>663</v>
      </c>
      <c r="J176" s="8">
        <v>1</v>
      </c>
      <c r="K176" s="8">
        <v>0</v>
      </c>
      <c r="L176" s="8">
        <v>835.8</v>
      </c>
      <c r="M176" s="8">
        <v>76535.88</v>
      </c>
      <c r="N176" s="8">
        <v>51814.35</v>
      </c>
      <c r="O176" s="8" t="str">
        <f t="shared" si="17"/>
        <v>Fraud</v>
      </c>
      <c r="P176" s="8">
        <v>1</v>
      </c>
      <c r="Q176" s="8" t="s">
        <v>1027</v>
      </c>
      <c r="R176" s="8" t="s">
        <v>1030</v>
      </c>
      <c r="S176" s="8">
        <v>123</v>
      </c>
      <c r="T176" s="8">
        <v>61</v>
      </c>
      <c r="U176" s="8">
        <v>6388.17</v>
      </c>
      <c r="V176" s="8">
        <v>3.9</v>
      </c>
      <c r="W176" s="8">
        <v>5.6</v>
      </c>
      <c r="X176" s="8">
        <v>676.18</v>
      </c>
      <c r="Y176" s="20" t="str">
        <f t="shared" si="12"/>
        <v>Normal</v>
      </c>
      <c r="Z176" s="20">
        <f t="shared" si="13"/>
        <v>-0.55765028751981027</v>
      </c>
      <c r="AA176" s="20">
        <f t="shared" si="14"/>
        <v>2.8269641523464499</v>
      </c>
      <c r="AB176" s="20">
        <f t="shared" si="15"/>
        <v>-0.43575730969941451</v>
      </c>
      <c r="AC176" s="20">
        <f t="shared" si="16"/>
        <v>-1.1572367613032406</v>
      </c>
      <c r="AD176" s="20"/>
    </row>
    <row r="177" spans="1:30" x14ac:dyDescent="0.45">
      <c r="A177" s="8" t="s">
        <v>41</v>
      </c>
      <c r="B177" s="8" t="s">
        <v>541</v>
      </c>
      <c r="C177" s="8">
        <v>36.4</v>
      </c>
      <c r="D177" s="8" t="s">
        <v>1010</v>
      </c>
      <c r="E177" s="8" t="s">
        <v>1013</v>
      </c>
      <c r="F177" s="8" t="s">
        <v>1019</v>
      </c>
      <c r="G177" s="8" t="s">
        <v>1023</v>
      </c>
      <c r="H177" s="8">
        <v>105262.29</v>
      </c>
      <c r="I177" s="8">
        <v>604</v>
      </c>
      <c r="J177" s="8">
        <v>0</v>
      </c>
      <c r="K177" s="8">
        <v>0</v>
      </c>
      <c r="L177" s="8">
        <v>837.79</v>
      </c>
      <c r="M177" s="8">
        <v>12957.32</v>
      </c>
      <c r="N177" s="8">
        <v>83462.490000000005</v>
      </c>
      <c r="O177" s="8" t="str">
        <f t="shared" si="17"/>
        <v>Not Fraud</v>
      </c>
      <c r="P177" s="8">
        <v>0</v>
      </c>
      <c r="Q177" s="8" t="s">
        <v>1027</v>
      </c>
      <c r="R177" s="8" t="s">
        <v>1028</v>
      </c>
      <c r="S177" s="8">
        <v>1863</v>
      </c>
      <c r="T177" s="8">
        <v>48</v>
      </c>
      <c r="U177" s="8">
        <v>2136.81</v>
      </c>
      <c r="V177" s="8">
        <v>3.3</v>
      </c>
      <c r="W177" s="8">
        <v>4</v>
      </c>
      <c r="X177" s="8">
        <v>0</v>
      </c>
      <c r="Y177" s="20" t="str">
        <f t="shared" si="12"/>
        <v>Normal</v>
      </c>
      <c r="Z177" s="20">
        <f t="shared" si="13"/>
        <v>-0.55670065310259098</v>
      </c>
      <c r="AA177" s="20">
        <f t="shared" si="14"/>
        <v>-0.34595157910837915</v>
      </c>
      <c r="AB177" s="20">
        <f t="shared" si="15"/>
        <v>1.2059236084804625</v>
      </c>
      <c r="AC177" s="20">
        <f t="shared" si="16"/>
        <v>0.61922780241623965</v>
      </c>
      <c r="AD177" s="20"/>
    </row>
    <row r="178" spans="1:30" x14ac:dyDescent="0.45">
      <c r="A178" s="8" t="s">
        <v>505</v>
      </c>
      <c r="B178" s="8" t="s">
        <v>993</v>
      </c>
      <c r="C178" s="8">
        <v>25.9</v>
      </c>
      <c r="D178" s="8" t="s">
        <v>1009</v>
      </c>
      <c r="E178" s="8" t="s">
        <v>1014</v>
      </c>
      <c r="F178" s="8" t="s">
        <v>1018</v>
      </c>
      <c r="G178" s="8" t="s">
        <v>1023</v>
      </c>
      <c r="H178" s="8">
        <v>66705.179999999993</v>
      </c>
      <c r="I178" s="8">
        <v>608</v>
      </c>
      <c r="J178" s="8">
        <v>0</v>
      </c>
      <c r="K178" s="8">
        <v>1</v>
      </c>
      <c r="L178" s="8">
        <v>861.59</v>
      </c>
      <c r="M178" s="8">
        <v>140.13999999999999</v>
      </c>
      <c r="N178" s="8">
        <v>49283.97</v>
      </c>
      <c r="O178" s="8" t="str">
        <f t="shared" si="17"/>
        <v>Fraud</v>
      </c>
      <c r="P178" s="8">
        <v>1</v>
      </c>
      <c r="Q178" s="8" t="s">
        <v>1024</v>
      </c>
      <c r="R178" s="8" t="s">
        <v>1029</v>
      </c>
      <c r="S178" s="8">
        <v>4248</v>
      </c>
      <c r="T178" s="8">
        <v>38</v>
      </c>
      <c r="U178" s="8">
        <v>1982.76</v>
      </c>
      <c r="V178" s="8">
        <v>5.8</v>
      </c>
      <c r="W178" s="8">
        <v>2</v>
      </c>
      <c r="X178" s="8">
        <v>840.2</v>
      </c>
      <c r="Y178" s="20" t="str">
        <f t="shared" si="12"/>
        <v>Normal</v>
      </c>
      <c r="Z178" s="20">
        <f t="shared" si="13"/>
        <v>-0.54534321635393834</v>
      </c>
      <c r="AA178" s="20">
        <f t="shared" si="14"/>
        <v>-0.98559853013854093</v>
      </c>
      <c r="AB178" s="20">
        <f t="shared" si="15"/>
        <v>-0.56701546773789613</v>
      </c>
      <c r="AC178" s="20">
        <f t="shared" si="16"/>
        <v>-0.99907141227565699</v>
      </c>
      <c r="AD178" s="20"/>
    </row>
    <row r="179" spans="1:30" x14ac:dyDescent="0.45">
      <c r="A179" s="8" t="s">
        <v>448</v>
      </c>
      <c r="B179" s="8" t="s">
        <v>938</v>
      </c>
      <c r="C179" s="8">
        <v>70.5</v>
      </c>
      <c r="D179" s="8" t="s">
        <v>1009</v>
      </c>
      <c r="E179" s="8" t="s">
        <v>1014</v>
      </c>
      <c r="F179" s="8" t="s">
        <v>1017</v>
      </c>
      <c r="G179" s="8" t="s">
        <v>1021</v>
      </c>
      <c r="H179" s="8">
        <v>99510</v>
      </c>
      <c r="I179" s="8">
        <v>650</v>
      </c>
      <c r="J179" s="8">
        <v>1</v>
      </c>
      <c r="K179" s="8">
        <v>1</v>
      </c>
      <c r="L179" s="8">
        <v>863.75</v>
      </c>
      <c r="M179" s="8">
        <v>27895.75</v>
      </c>
      <c r="N179" s="8">
        <v>77753.11</v>
      </c>
      <c r="O179" s="8" t="str">
        <f t="shared" si="17"/>
        <v>Not Fraud</v>
      </c>
      <c r="P179" s="8">
        <v>0</v>
      </c>
      <c r="Q179" s="8" t="s">
        <v>1027</v>
      </c>
      <c r="R179" s="8" t="s">
        <v>1029</v>
      </c>
      <c r="S179" s="8">
        <v>2208</v>
      </c>
      <c r="T179" s="8">
        <v>71</v>
      </c>
      <c r="U179" s="8">
        <v>1136.8399999999999</v>
      </c>
      <c r="V179" s="8">
        <v>5.3</v>
      </c>
      <c r="W179" s="8">
        <v>7.3</v>
      </c>
      <c r="X179" s="8">
        <v>0</v>
      </c>
      <c r="Y179" s="20" t="str">
        <f t="shared" si="12"/>
        <v>Normal</v>
      </c>
      <c r="Z179" s="20">
        <f t="shared" si="13"/>
        <v>-0.54431245738851441</v>
      </c>
      <c r="AA179" s="20">
        <f t="shared" si="14"/>
        <v>0.39955727718274725</v>
      </c>
      <c r="AB179" s="20">
        <f t="shared" si="15"/>
        <v>0.90976148961225001</v>
      </c>
      <c r="AC179" s="20">
        <f t="shared" si="16"/>
        <v>0.3777956414041711</v>
      </c>
      <c r="AD179" s="20"/>
    </row>
    <row r="180" spans="1:30" x14ac:dyDescent="0.45">
      <c r="A180" s="8" t="s">
        <v>335</v>
      </c>
      <c r="B180" s="8" t="s">
        <v>831</v>
      </c>
      <c r="C180" s="8">
        <v>62.4</v>
      </c>
      <c r="D180" s="8" t="s">
        <v>1009</v>
      </c>
      <c r="E180" s="8" t="s">
        <v>1014</v>
      </c>
      <c r="F180" s="8" t="s">
        <v>1019</v>
      </c>
      <c r="G180" s="8" t="s">
        <v>1020</v>
      </c>
      <c r="H180" s="8">
        <v>114744.25</v>
      </c>
      <c r="I180" s="8">
        <v>707</v>
      </c>
      <c r="J180" s="8">
        <v>0</v>
      </c>
      <c r="K180" s="8">
        <v>0</v>
      </c>
      <c r="L180" s="8">
        <v>869.36</v>
      </c>
      <c r="M180" s="8">
        <v>4428.6899999999996</v>
      </c>
      <c r="N180" s="8">
        <v>68517.740000000005</v>
      </c>
      <c r="O180" s="8" t="str">
        <f t="shared" si="17"/>
        <v>Not Fraud</v>
      </c>
      <c r="P180" s="8">
        <v>0</v>
      </c>
      <c r="Q180" s="8" t="s">
        <v>1027</v>
      </c>
      <c r="R180" s="8" t="s">
        <v>1026</v>
      </c>
      <c r="S180" s="8">
        <v>1310</v>
      </c>
      <c r="T180" s="8">
        <v>29</v>
      </c>
      <c r="U180" s="8">
        <v>9982.24</v>
      </c>
      <c r="V180" s="8">
        <v>2.2000000000000002</v>
      </c>
      <c r="W180" s="8">
        <v>1.4</v>
      </c>
      <c r="X180" s="8">
        <v>0</v>
      </c>
      <c r="Y180" s="20" t="str">
        <f t="shared" si="12"/>
        <v>Normal</v>
      </c>
      <c r="Z180" s="20">
        <f t="shared" si="13"/>
        <v>-0.54163534729776064</v>
      </c>
      <c r="AA180" s="20">
        <f t="shared" si="14"/>
        <v>-0.77157657430735183</v>
      </c>
      <c r="AB180" s="20">
        <f t="shared" si="15"/>
        <v>0.43069603106299936</v>
      </c>
      <c r="AC180" s="20">
        <f t="shared" si="16"/>
        <v>1.0171997567909319</v>
      </c>
      <c r="AD180" s="20"/>
    </row>
    <row r="181" spans="1:30" x14ac:dyDescent="0.45">
      <c r="A181" s="8" t="s">
        <v>266</v>
      </c>
      <c r="B181" s="8" t="s">
        <v>764</v>
      </c>
      <c r="C181" s="8">
        <v>63</v>
      </c>
      <c r="D181" s="8" t="s">
        <v>1010</v>
      </c>
      <c r="E181" s="8" t="s">
        <v>1012</v>
      </c>
      <c r="F181" s="8" t="s">
        <v>1019</v>
      </c>
      <c r="G181" s="8" t="s">
        <v>1021</v>
      </c>
      <c r="H181" s="8">
        <v>122754.98</v>
      </c>
      <c r="I181" s="8">
        <v>755</v>
      </c>
      <c r="J181" s="8">
        <v>0</v>
      </c>
      <c r="K181" s="8">
        <v>0</v>
      </c>
      <c r="L181" s="8">
        <v>880.32</v>
      </c>
      <c r="M181" s="8">
        <v>4429.01</v>
      </c>
      <c r="N181" s="8">
        <v>82286.429999999993</v>
      </c>
      <c r="O181" s="8" t="str">
        <f t="shared" si="17"/>
        <v>Fraud</v>
      </c>
      <c r="P181" s="8">
        <v>1</v>
      </c>
      <c r="Q181" s="8" t="s">
        <v>1026</v>
      </c>
      <c r="R181" s="8" t="s">
        <v>1030</v>
      </c>
      <c r="S181" s="8">
        <v>301</v>
      </c>
      <c r="T181" s="8">
        <v>95</v>
      </c>
      <c r="U181" s="8">
        <v>2984.56</v>
      </c>
      <c r="V181" s="8">
        <v>7.2</v>
      </c>
      <c r="W181" s="8">
        <v>2.4</v>
      </c>
      <c r="X181" s="8">
        <v>649.51</v>
      </c>
      <c r="Y181" s="20" t="str">
        <f t="shared" si="12"/>
        <v>Normal</v>
      </c>
      <c r="Z181" s="20">
        <f t="shared" si="13"/>
        <v>-0.53640519995468361</v>
      </c>
      <c r="AA181" s="20">
        <f t="shared" si="14"/>
        <v>-0.77156060456796061</v>
      </c>
      <c r="AB181" s="20">
        <f t="shared" si="15"/>
        <v>1.1449179613670888</v>
      </c>
      <c r="AC181" s="20">
        <f t="shared" si="16"/>
        <v>1.3534220013551332</v>
      </c>
      <c r="AD181" s="20"/>
    </row>
    <row r="182" spans="1:30" x14ac:dyDescent="0.45">
      <c r="A182" s="8" t="s">
        <v>314</v>
      </c>
      <c r="B182" s="8" t="s">
        <v>810</v>
      </c>
      <c r="C182" s="8">
        <v>42.6</v>
      </c>
      <c r="D182" s="8" t="s">
        <v>1009</v>
      </c>
      <c r="E182" s="8" t="s">
        <v>1013</v>
      </c>
      <c r="F182" s="8" t="s">
        <v>1016</v>
      </c>
      <c r="G182" s="8" t="s">
        <v>1021</v>
      </c>
      <c r="H182" s="8">
        <v>102351.39</v>
      </c>
      <c r="I182" s="8">
        <v>590</v>
      </c>
      <c r="J182" s="8">
        <v>0</v>
      </c>
      <c r="K182" s="8">
        <v>0</v>
      </c>
      <c r="L182" s="8">
        <v>881.85</v>
      </c>
      <c r="M182" s="8">
        <v>20746.73</v>
      </c>
      <c r="N182" s="8">
        <v>101790.77</v>
      </c>
      <c r="O182" s="8" t="str">
        <f t="shared" si="17"/>
        <v>Not Fraud</v>
      </c>
      <c r="P182" s="8">
        <v>0</v>
      </c>
      <c r="Q182" s="8" t="s">
        <v>1024</v>
      </c>
      <c r="R182" s="8" t="s">
        <v>1030</v>
      </c>
      <c r="S182" s="8">
        <v>2273</v>
      </c>
      <c r="T182" s="8">
        <v>89</v>
      </c>
      <c r="U182" s="8">
        <v>4473.2299999999996</v>
      </c>
      <c r="V182" s="8">
        <v>7.8</v>
      </c>
      <c r="W182" s="8">
        <v>6.3</v>
      </c>
      <c r="X182" s="8">
        <v>0</v>
      </c>
      <c r="Y182" s="20" t="str">
        <f t="shared" si="12"/>
        <v>Normal</v>
      </c>
      <c r="Z182" s="20">
        <f t="shared" si="13"/>
        <v>-0.53567507902084155</v>
      </c>
      <c r="AA182" s="20">
        <f t="shared" si="14"/>
        <v>4.2782319988290483E-2</v>
      </c>
      <c r="AB182" s="20">
        <f t="shared" si="15"/>
        <v>2.1566647117193218</v>
      </c>
      <c r="AC182" s="20">
        <f t="shared" si="16"/>
        <v>0.49705300290334486</v>
      </c>
      <c r="AD182" s="20"/>
    </row>
    <row r="183" spans="1:30" x14ac:dyDescent="0.45">
      <c r="A183" s="8" t="s">
        <v>117</v>
      </c>
      <c r="B183" s="8" t="s">
        <v>617</v>
      </c>
      <c r="C183" s="8">
        <v>44.1</v>
      </c>
      <c r="D183" s="8" t="s">
        <v>1009</v>
      </c>
      <c r="E183" s="8" t="s">
        <v>1012</v>
      </c>
      <c r="F183" s="8" t="s">
        <v>1019</v>
      </c>
      <c r="G183" s="8" t="s">
        <v>1021</v>
      </c>
      <c r="H183" s="8">
        <v>54463.360000000001</v>
      </c>
      <c r="I183" s="8">
        <v>693</v>
      </c>
      <c r="J183" s="8">
        <v>1</v>
      </c>
      <c r="K183" s="8">
        <v>0</v>
      </c>
      <c r="L183" s="8">
        <v>888.65</v>
      </c>
      <c r="M183" s="8">
        <v>17060.02</v>
      </c>
      <c r="N183" s="8">
        <v>44542.45</v>
      </c>
      <c r="O183" s="8" t="str">
        <f t="shared" si="17"/>
        <v>Fraud</v>
      </c>
      <c r="P183" s="8">
        <v>1</v>
      </c>
      <c r="Q183" s="8" t="s">
        <v>1027</v>
      </c>
      <c r="R183" s="8" t="s">
        <v>1029</v>
      </c>
      <c r="S183" s="8">
        <v>710</v>
      </c>
      <c r="T183" s="8">
        <v>128</v>
      </c>
      <c r="U183" s="8">
        <v>556.29999999999995</v>
      </c>
      <c r="V183" s="8">
        <v>4</v>
      </c>
      <c r="W183" s="8">
        <v>9.5</v>
      </c>
      <c r="X183" s="8">
        <v>449.68</v>
      </c>
      <c r="Y183" s="20" t="str">
        <f t="shared" si="12"/>
        <v>Normal</v>
      </c>
      <c r="Z183" s="20">
        <f t="shared" si="13"/>
        <v>-0.53243009709265521</v>
      </c>
      <c r="AA183" s="20">
        <f t="shared" si="14"/>
        <v>-0.14120454848296507</v>
      </c>
      <c r="AB183" s="20">
        <f t="shared" si="15"/>
        <v>-0.81297187804094262</v>
      </c>
      <c r="AC183" s="20">
        <f t="shared" si="16"/>
        <v>-1.5128787928703007</v>
      </c>
      <c r="AD183" s="20"/>
    </row>
    <row r="184" spans="1:30" x14ac:dyDescent="0.45">
      <c r="A184" s="8" t="s">
        <v>60</v>
      </c>
      <c r="B184" s="8" t="s">
        <v>560</v>
      </c>
      <c r="C184" s="8">
        <v>20.6</v>
      </c>
      <c r="D184" s="8" t="s">
        <v>1009</v>
      </c>
      <c r="E184" s="8" t="s">
        <v>1011</v>
      </c>
      <c r="F184" s="8" t="s">
        <v>1019</v>
      </c>
      <c r="G184" s="8" t="s">
        <v>1023</v>
      </c>
      <c r="H184" s="8">
        <v>122502.06</v>
      </c>
      <c r="I184" s="8">
        <v>710</v>
      </c>
      <c r="J184" s="8">
        <v>0</v>
      </c>
      <c r="K184" s="8">
        <v>1</v>
      </c>
      <c r="L184" s="8">
        <v>896.38</v>
      </c>
      <c r="M184" s="8">
        <v>60128.92</v>
      </c>
      <c r="N184" s="8">
        <v>74958.210000000006</v>
      </c>
      <c r="O184" s="8" t="str">
        <f t="shared" si="17"/>
        <v>Fraud</v>
      </c>
      <c r="P184" s="8">
        <v>1</v>
      </c>
      <c r="Q184" s="8" t="s">
        <v>1026</v>
      </c>
      <c r="R184" s="8" t="s">
        <v>1030</v>
      </c>
      <c r="S184" s="8">
        <v>1011</v>
      </c>
      <c r="T184" s="8">
        <v>234</v>
      </c>
      <c r="U184" s="8">
        <v>2997.14</v>
      </c>
      <c r="V184" s="8">
        <v>6.4</v>
      </c>
      <c r="W184" s="8">
        <v>2.5</v>
      </c>
      <c r="X184" s="8">
        <v>716.98</v>
      </c>
      <c r="Y184" s="20" t="str">
        <f t="shared" si="12"/>
        <v>Normal</v>
      </c>
      <c r="Z184" s="20">
        <f t="shared" si="13"/>
        <v>-0.52874131616546682</v>
      </c>
      <c r="AA184" s="20">
        <f t="shared" si="14"/>
        <v>2.0081676667174873</v>
      </c>
      <c r="AB184" s="20">
        <f t="shared" si="15"/>
        <v>0.76478191108975457</v>
      </c>
      <c r="AC184" s="20">
        <f t="shared" si="16"/>
        <v>1.3428065730364684</v>
      </c>
      <c r="AD184" s="20"/>
    </row>
    <row r="185" spans="1:30" x14ac:dyDescent="0.45">
      <c r="A185" s="8" t="s">
        <v>63</v>
      </c>
      <c r="B185" s="8" t="s">
        <v>563</v>
      </c>
      <c r="C185" s="8">
        <v>61.1</v>
      </c>
      <c r="D185" s="8" t="s">
        <v>1010</v>
      </c>
      <c r="E185" s="8" t="s">
        <v>1013</v>
      </c>
      <c r="F185" s="8" t="s">
        <v>1017</v>
      </c>
      <c r="G185" s="8" t="s">
        <v>1023</v>
      </c>
      <c r="H185" s="8">
        <v>108515.04</v>
      </c>
      <c r="I185" s="8">
        <v>657</v>
      </c>
      <c r="J185" s="8">
        <v>0</v>
      </c>
      <c r="K185" s="8">
        <v>0</v>
      </c>
      <c r="L185" s="8">
        <v>897.39</v>
      </c>
      <c r="M185" s="8">
        <v>1801.39</v>
      </c>
      <c r="N185" s="8">
        <v>101481.65</v>
      </c>
      <c r="O185" s="8" t="str">
        <f t="shared" si="17"/>
        <v>Not Fraud</v>
      </c>
      <c r="P185" s="8">
        <v>0</v>
      </c>
      <c r="Q185" s="8" t="s">
        <v>1026</v>
      </c>
      <c r="R185" s="8" t="s">
        <v>1030</v>
      </c>
      <c r="S185" s="8">
        <v>831</v>
      </c>
      <c r="T185" s="8">
        <v>46</v>
      </c>
      <c r="U185" s="8">
        <v>324.14999999999998</v>
      </c>
      <c r="V185" s="8">
        <v>5.3</v>
      </c>
      <c r="W185" s="8">
        <v>5.0999999999999996</v>
      </c>
      <c r="X185" s="8">
        <v>0</v>
      </c>
      <c r="Y185" s="20" t="str">
        <f t="shared" si="12"/>
        <v>Normal</v>
      </c>
      <c r="Z185" s="20">
        <f t="shared" si="13"/>
        <v>-0.52825934090848603</v>
      </c>
      <c r="AA185" s="20">
        <f t="shared" si="14"/>
        <v>-0.90269312525237588</v>
      </c>
      <c r="AB185" s="20">
        <f t="shared" si="15"/>
        <v>2.1406297597307442</v>
      </c>
      <c r="AC185" s="20">
        <f t="shared" si="16"/>
        <v>0.75575055452574857</v>
      </c>
      <c r="AD185" s="20"/>
    </row>
    <row r="186" spans="1:30" x14ac:dyDescent="0.45">
      <c r="A186" s="8" t="s">
        <v>376</v>
      </c>
      <c r="B186" s="8" t="s">
        <v>871</v>
      </c>
      <c r="C186" s="8">
        <v>47.6</v>
      </c>
      <c r="D186" s="8" t="s">
        <v>1009</v>
      </c>
      <c r="E186" s="8" t="s">
        <v>1013</v>
      </c>
      <c r="F186" s="8" t="s">
        <v>1019</v>
      </c>
      <c r="G186" s="8" t="s">
        <v>1023</v>
      </c>
      <c r="H186" s="8">
        <v>76056.28</v>
      </c>
      <c r="I186" s="8">
        <v>550</v>
      </c>
      <c r="J186" s="8">
        <v>0</v>
      </c>
      <c r="K186" s="8">
        <v>1</v>
      </c>
      <c r="L186" s="8">
        <v>897.79</v>
      </c>
      <c r="M186" s="8">
        <v>7506.08</v>
      </c>
      <c r="N186" s="8">
        <v>40921.21</v>
      </c>
      <c r="O186" s="8" t="str">
        <f t="shared" si="17"/>
        <v>Fraud</v>
      </c>
      <c r="P186" s="8">
        <v>1</v>
      </c>
      <c r="Q186" s="8" t="s">
        <v>1026</v>
      </c>
      <c r="R186" s="8" t="s">
        <v>1028</v>
      </c>
      <c r="S186" s="8">
        <v>4861</v>
      </c>
      <c r="T186" s="8">
        <v>97</v>
      </c>
      <c r="U186" s="8">
        <v>2712.51</v>
      </c>
      <c r="V186" s="8">
        <v>1.8</v>
      </c>
      <c r="W186" s="8">
        <v>8.1</v>
      </c>
      <c r="X186" s="8">
        <v>785.04</v>
      </c>
      <c r="Y186" s="20" t="str">
        <f t="shared" si="12"/>
        <v>Normal</v>
      </c>
      <c r="Z186" s="20">
        <f t="shared" si="13"/>
        <v>-0.52806845961859283</v>
      </c>
      <c r="AA186" s="20">
        <f t="shared" si="14"/>
        <v>-0.61799808585429816</v>
      </c>
      <c r="AB186" s="20">
        <f t="shared" si="15"/>
        <v>-1.0008161117984302</v>
      </c>
      <c r="AC186" s="20">
        <f t="shared" si="16"/>
        <v>-0.60659184660008114</v>
      </c>
      <c r="AD186" s="20"/>
    </row>
    <row r="187" spans="1:30" x14ac:dyDescent="0.45">
      <c r="A187" s="8" t="s">
        <v>512</v>
      </c>
      <c r="B187" s="8" t="s">
        <v>998</v>
      </c>
      <c r="C187" s="8">
        <v>63.2</v>
      </c>
      <c r="D187" s="8" t="s">
        <v>1009</v>
      </c>
      <c r="E187" s="8" t="s">
        <v>1013</v>
      </c>
      <c r="F187" s="8" t="s">
        <v>1016</v>
      </c>
      <c r="G187" s="8" t="s">
        <v>1020</v>
      </c>
      <c r="H187" s="8">
        <v>91266.39</v>
      </c>
      <c r="I187" s="8">
        <v>795</v>
      </c>
      <c r="J187" s="8">
        <v>0</v>
      </c>
      <c r="K187" s="8">
        <v>0</v>
      </c>
      <c r="L187" s="8">
        <v>906.9</v>
      </c>
      <c r="M187" s="8">
        <v>7358.16</v>
      </c>
      <c r="N187" s="8">
        <v>70035.649999999994</v>
      </c>
      <c r="O187" s="8" t="str">
        <f t="shared" si="17"/>
        <v>Fraud</v>
      </c>
      <c r="P187" s="8">
        <v>1</v>
      </c>
      <c r="Q187" s="8" t="s">
        <v>1025</v>
      </c>
      <c r="R187" s="8" t="s">
        <v>1028</v>
      </c>
      <c r="S187" s="8">
        <v>4835</v>
      </c>
      <c r="T187" s="8">
        <v>64</v>
      </c>
      <c r="U187" s="8">
        <v>3316.85</v>
      </c>
      <c r="V187" s="8">
        <v>0.5</v>
      </c>
      <c r="W187" s="8">
        <v>3.7</v>
      </c>
      <c r="X187" s="8">
        <v>744.9</v>
      </c>
      <c r="Y187" s="20" t="str">
        <f t="shared" si="12"/>
        <v>Normal</v>
      </c>
      <c r="Z187" s="20">
        <f t="shared" si="13"/>
        <v>-0.52372113824127242</v>
      </c>
      <c r="AA187" s="20">
        <f t="shared" si="14"/>
        <v>-0.62538009788786419</v>
      </c>
      <c r="AB187" s="20">
        <f t="shared" si="15"/>
        <v>0.50943443030271451</v>
      </c>
      <c r="AC187" s="20">
        <f t="shared" si="16"/>
        <v>3.1799077107047491E-2</v>
      </c>
      <c r="AD187" s="20"/>
    </row>
    <row r="188" spans="1:30" x14ac:dyDescent="0.45">
      <c r="A188" s="8" t="s">
        <v>452</v>
      </c>
      <c r="B188" s="8" t="s">
        <v>942</v>
      </c>
      <c r="C188" s="8">
        <v>23.6</v>
      </c>
      <c r="D188" s="8" t="s">
        <v>1010</v>
      </c>
      <c r="E188" s="8" t="s">
        <v>1014</v>
      </c>
      <c r="F188" s="8" t="s">
        <v>1016</v>
      </c>
      <c r="G188" s="8" t="s">
        <v>1020</v>
      </c>
      <c r="H188" s="8">
        <v>95136.22</v>
      </c>
      <c r="I188" s="8">
        <v>569</v>
      </c>
      <c r="J188" s="8">
        <v>1</v>
      </c>
      <c r="K188" s="8">
        <v>0</v>
      </c>
      <c r="L188" s="8">
        <v>913.15</v>
      </c>
      <c r="M188" s="8">
        <v>109143.69</v>
      </c>
      <c r="N188" s="8">
        <v>69954.86</v>
      </c>
      <c r="O188" s="8" t="str">
        <f t="shared" si="17"/>
        <v>Not Fraud</v>
      </c>
      <c r="P188" s="8">
        <v>0</v>
      </c>
      <c r="Q188" s="8" t="s">
        <v>1026</v>
      </c>
      <c r="R188" s="8" t="s">
        <v>1028</v>
      </c>
      <c r="S188" s="8">
        <v>209</v>
      </c>
      <c r="T188" s="8">
        <v>11</v>
      </c>
      <c r="U188" s="8">
        <v>7740.27</v>
      </c>
      <c r="V188" s="8">
        <v>5</v>
      </c>
      <c r="W188" s="8">
        <v>6.4</v>
      </c>
      <c r="X188" s="8">
        <v>0</v>
      </c>
      <c r="Y188" s="20" t="str">
        <f t="shared" si="12"/>
        <v>Normal</v>
      </c>
      <c r="Z188" s="20">
        <f t="shared" si="13"/>
        <v>-0.52073861808668931</v>
      </c>
      <c r="AA188" s="20">
        <f t="shared" si="14"/>
        <v>4.4542711142733964</v>
      </c>
      <c r="AB188" s="20">
        <f t="shared" si="15"/>
        <v>0.50524361841361953</v>
      </c>
      <c r="AC188" s="20">
        <f t="shared" si="16"/>
        <v>0.19422159399151173</v>
      </c>
      <c r="AD188" s="20"/>
    </row>
    <row r="189" spans="1:30" x14ac:dyDescent="0.45">
      <c r="A189" s="8" t="s">
        <v>458</v>
      </c>
      <c r="B189" s="8" t="s">
        <v>948</v>
      </c>
      <c r="C189" s="8">
        <v>51.1</v>
      </c>
      <c r="D189" s="8" t="s">
        <v>1009</v>
      </c>
      <c r="E189" s="8" t="s">
        <v>1012</v>
      </c>
      <c r="F189" s="8" t="s">
        <v>1016</v>
      </c>
      <c r="G189" s="8" t="s">
        <v>1022</v>
      </c>
      <c r="H189" s="8">
        <v>39081.83</v>
      </c>
      <c r="I189" s="8">
        <v>836</v>
      </c>
      <c r="J189" s="8">
        <v>0</v>
      </c>
      <c r="K189" s="8">
        <v>0</v>
      </c>
      <c r="L189" s="8">
        <v>913.69</v>
      </c>
      <c r="M189" s="8">
        <v>10849.6</v>
      </c>
      <c r="N189" s="8">
        <v>37996.92</v>
      </c>
      <c r="O189" s="8" t="str">
        <f t="shared" si="17"/>
        <v>Fraud</v>
      </c>
      <c r="P189" s="8">
        <v>1</v>
      </c>
      <c r="Q189" s="8" t="s">
        <v>1026</v>
      </c>
      <c r="R189" s="8" t="s">
        <v>1028</v>
      </c>
      <c r="S189" s="8">
        <v>4635</v>
      </c>
      <c r="T189" s="8">
        <v>116</v>
      </c>
      <c r="U189" s="8">
        <v>1235.05</v>
      </c>
      <c r="V189" s="8">
        <v>5.9</v>
      </c>
      <c r="W189" s="8">
        <v>7.5</v>
      </c>
      <c r="X189" s="8">
        <v>607.78</v>
      </c>
      <c r="Y189" s="20" t="str">
        <f t="shared" si="12"/>
        <v>Normal</v>
      </c>
      <c r="Z189" s="20">
        <f t="shared" si="13"/>
        <v>-0.52048092834533322</v>
      </c>
      <c r="AA189" s="20">
        <f t="shared" si="14"/>
        <v>-0.45113826382571104</v>
      </c>
      <c r="AB189" s="20">
        <f t="shared" si="15"/>
        <v>-1.1525075253293433</v>
      </c>
      <c r="AC189" s="20">
        <f t="shared" si="16"/>
        <v>-2.158464468761462</v>
      </c>
      <c r="AD189" s="20"/>
    </row>
    <row r="190" spans="1:30" x14ac:dyDescent="0.45">
      <c r="A190" s="8" t="s">
        <v>192</v>
      </c>
      <c r="B190" s="8" t="s">
        <v>690</v>
      </c>
      <c r="C190" s="8">
        <v>38.700000000000003</v>
      </c>
      <c r="D190" s="8" t="s">
        <v>1010</v>
      </c>
      <c r="E190" s="8" t="s">
        <v>1013</v>
      </c>
      <c r="F190" s="8" t="s">
        <v>1017</v>
      </c>
      <c r="G190" s="8" t="s">
        <v>1020</v>
      </c>
      <c r="H190" s="8">
        <v>89769.69</v>
      </c>
      <c r="I190" s="8">
        <v>587</v>
      </c>
      <c r="J190" s="8">
        <v>1</v>
      </c>
      <c r="K190" s="8">
        <v>0</v>
      </c>
      <c r="L190" s="8">
        <v>920.03</v>
      </c>
      <c r="M190" s="8">
        <v>3016.16</v>
      </c>
      <c r="N190" s="8">
        <v>53925.48</v>
      </c>
      <c r="O190" s="8" t="str">
        <f t="shared" si="17"/>
        <v>Fraud</v>
      </c>
      <c r="P190" s="8">
        <v>1</v>
      </c>
      <c r="Q190" s="8" t="s">
        <v>1026</v>
      </c>
      <c r="R190" s="8" t="s">
        <v>1028</v>
      </c>
      <c r="S190" s="8">
        <v>797</v>
      </c>
      <c r="T190" s="8">
        <v>160</v>
      </c>
      <c r="U190" s="8">
        <v>2042.1</v>
      </c>
      <c r="V190" s="8">
        <v>4.2</v>
      </c>
      <c r="W190" s="8">
        <v>8.3000000000000007</v>
      </c>
      <c r="X190" s="8">
        <v>583.66</v>
      </c>
      <c r="Y190" s="20" t="str">
        <f t="shared" si="12"/>
        <v>Normal</v>
      </c>
      <c r="Z190" s="20">
        <f t="shared" si="13"/>
        <v>-0.51745545990052411</v>
      </c>
      <c r="AA190" s="20">
        <f t="shared" si="14"/>
        <v>-0.8420694992517338</v>
      </c>
      <c r="AB190" s="20">
        <f t="shared" si="15"/>
        <v>-0.32624686653286222</v>
      </c>
      <c r="AC190" s="20">
        <f t="shared" si="16"/>
        <v>-3.1019646459873294E-2</v>
      </c>
      <c r="AD190" s="20"/>
    </row>
    <row r="191" spans="1:30" x14ac:dyDescent="0.45">
      <c r="A191" s="8" t="s">
        <v>398</v>
      </c>
      <c r="B191" s="8" t="s">
        <v>580</v>
      </c>
      <c r="C191" s="8">
        <v>38.5</v>
      </c>
      <c r="D191" s="8" t="s">
        <v>1010</v>
      </c>
      <c r="E191" s="8" t="s">
        <v>1012</v>
      </c>
      <c r="F191" s="8" t="s">
        <v>1017</v>
      </c>
      <c r="G191" s="8" t="s">
        <v>1022</v>
      </c>
      <c r="H191" s="8">
        <v>103319.63</v>
      </c>
      <c r="I191" s="8">
        <v>765</v>
      </c>
      <c r="J191" s="8">
        <v>0</v>
      </c>
      <c r="K191" s="8">
        <v>1</v>
      </c>
      <c r="L191" s="8">
        <v>931.41</v>
      </c>
      <c r="M191" s="8">
        <v>35287.83</v>
      </c>
      <c r="N191" s="8">
        <v>63978.96</v>
      </c>
      <c r="O191" s="8" t="str">
        <f t="shared" si="17"/>
        <v>Not Fraud</v>
      </c>
      <c r="P191" s="8">
        <v>0</v>
      </c>
      <c r="Q191" s="8" t="s">
        <v>1026</v>
      </c>
      <c r="R191" s="8" t="s">
        <v>1029</v>
      </c>
      <c r="S191" s="8">
        <v>1819</v>
      </c>
      <c r="T191" s="8">
        <v>62</v>
      </c>
      <c r="U191" s="8">
        <v>3041.93</v>
      </c>
      <c r="V191" s="8">
        <v>4</v>
      </c>
      <c r="W191" s="8">
        <v>8.5</v>
      </c>
      <c r="X191" s="8">
        <v>0</v>
      </c>
      <c r="Y191" s="20" t="str">
        <f t="shared" si="12"/>
        <v>Normal</v>
      </c>
      <c r="Z191" s="20">
        <f t="shared" si="13"/>
        <v>-0.51202488720305916</v>
      </c>
      <c r="AA191" s="20">
        <f t="shared" si="14"/>
        <v>0.76846224955350584</v>
      </c>
      <c r="AB191" s="20">
        <f t="shared" si="15"/>
        <v>0.19525633325401373</v>
      </c>
      <c r="AC191" s="20">
        <f t="shared" si="16"/>
        <v>0.53769147481250223</v>
      </c>
      <c r="AD191" s="20"/>
    </row>
    <row r="192" spans="1:30" x14ac:dyDescent="0.45">
      <c r="A192" s="8" t="s">
        <v>453</v>
      </c>
      <c r="B192" s="8" t="s">
        <v>943</v>
      </c>
      <c r="C192" s="8">
        <v>32.299999999999997</v>
      </c>
      <c r="D192" s="8" t="s">
        <v>1009</v>
      </c>
      <c r="E192" s="8" t="s">
        <v>1014</v>
      </c>
      <c r="F192" s="8" t="s">
        <v>1018</v>
      </c>
      <c r="G192" s="8" t="s">
        <v>1021</v>
      </c>
      <c r="H192" s="8">
        <v>130806.84</v>
      </c>
      <c r="I192" s="8">
        <v>621</v>
      </c>
      <c r="J192" s="8">
        <v>0</v>
      </c>
      <c r="K192" s="8">
        <v>0</v>
      </c>
      <c r="L192" s="8">
        <v>934.74</v>
      </c>
      <c r="M192" s="8">
        <v>11427.88</v>
      </c>
      <c r="N192" s="8">
        <v>73318.490000000005</v>
      </c>
      <c r="O192" s="8" t="str">
        <f t="shared" si="17"/>
        <v>Not Fraud</v>
      </c>
      <c r="P192" s="8">
        <v>0</v>
      </c>
      <c r="Q192" s="8" t="s">
        <v>1027</v>
      </c>
      <c r="R192" s="8" t="s">
        <v>1028</v>
      </c>
      <c r="S192" s="8">
        <v>3903</v>
      </c>
      <c r="T192" s="8">
        <v>32</v>
      </c>
      <c r="U192" s="8">
        <v>3590.04</v>
      </c>
      <c r="V192" s="8">
        <v>5.3</v>
      </c>
      <c r="W192" s="8">
        <v>9.1999999999999993</v>
      </c>
      <c r="X192" s="8">
        <v>0</v>
      </c>
      <c r="Y192" s="20" t="str">
        <f t="shared" si="12"/>
        <v>Normal</v>
      </c>
      <c r="Z192" s="20">
        <f t="shared" si="13"/>
        <v>-0.51043580046469728</v>
      </c>
      <c r="AA192" s="20">
        <f t="shared" si="14"/>
        <v>-0.42227894852845216</v>
      </c>
      <c r="AB192" s="20">
        <f t="shared" si="15"/>
        <v>0.67972487345158972</v>
      </c>
      <c r="AC192" s="20">
        <f t="shared" si="16"/>
        <v>1.6913705331514504</v>
      </c>
      <c r="AD192" s="20"/>
    </row>
    <row r="193" spans="1:30" x14ac:dyDescent="0.45">
      <c r="A193" s="8" t="s">
        <v>138</v>
      </c>
      <c r="B193" s="8" t="s">
        <v>636</v>
      </c>
      <c r="C193" s="8">
        <v>54.5</v>
      </c>
      <c r="D193" s="8" t="s">
        <v>1010</v>
      </c>
      <c r="E193" s="8" t="s">
        <v>1012</v>
      </c>
      <c r="F193" s="8" t="s">
        <v>1017</v>
      </c>
      <c r="G193" s="8" t="s">
        <v>1023</v>
      </c>
      <c r="H193" s="8">
        <v>80202.720000000001</v>
      </c>
      <c r="I193" s="8">
        <v>638</v>
      </c>
      <c r="J193" s="8">
        <v>0</v>
      </c>
      <c r="K193" s="8">
        <v>0</v>
      </c>
      <c r="L193" s="8">
        <v>942.64</v>
      </c>
      <c r="M193" s="8">
        <v>8867.69</v>
      </c>
      <c r="N193" s="8">
        <v>45101.95</v>
      </c>
      <c r="O193" s="8" t="str">
        <f t="shared" si="17"/>
        <v>Fraud</v>
      </c>
      <c r="P193" s="8">
        <v>1</v>
      </c>
      <c r="Q193" s="8" t="s">
        <v>1027</v>
      </c>
      <c r="R193" s="8" t="s">
        <v>1028</v>
      </c>
      <c r="S193" s="8">
        <v>4507</v>
      </c>
      <c r="T193" s="8">
        <v>268</v>
      </c>
      <c r="U193" s="8">
        <v>6745.23</v>
      </c>
      <c r="V193" s="8">
        <v>4.5999999999999996</v>
      </c>
      <c r="W193" s="8">
        <v>1.1000000000000001</v>
      </c>
      <c r="X193" s="8">
        <v>692.5</v>
      </c>
      <c r="Y193" s="20" t="str">
        <f t="shared" si="12"/>
        <v>Normal</v>
      </c>
      <c r="Z193" s="20">
        <f t="shared" si="13"/>
        <v>-0.50666589498930414</v>
      </c>
      <c r="AA193" s="20">
        <f t="shared" si="14"/>
        <v>-0.55004634569053534</v>
      </c>
      <c r="AB193" s="20">
        <f t="shared" si="15"/>
        <v>-0.78394898842652472</v>
      </c>
      <c r="AC193" s="20">
        <f t="shared" si="16"/>
        <v>-0.43255959688616136</v>
      </c>
      <c r="AD193" s="20"/>
    </row>
    <row r="194" spans="1:30" x14ac:dyDescent="0.45">
      <c r="A194" s="8" t="s">
        <v>365</v>
      </c>
      <c r="B194" s="8" t="s">
        <v>860</v>
      </c>
      <c r="C194" s="8">
        <v>53.7</v>
      </c>
      <c r="D194" s="8" t="s">
        <v>1010</v>
      </c>
      <c r="E194" s="8" t="s">
        <v>1014</v>
      </c>
      <c r="F194" s="8" t="s">
        <v>1019</v>
      </c>
      <c r="G194" s="8" t="s">
        <v>1020</v>
      </c>
      <c r="H194" s="8">
        <v>133564.01</v>
      </c>
      <c r="I194" s="8">
        <v>582</v>
      </c>
      <c r="J194" s="8">
        <v>0</v>
      </c>
      <c r="K194" s="8">
        <v>1</v>
      </c>
      <c r="L194" s="8">
        <v>943.12</v>
      </c>
      <c r="M194" s="8">
        <v>2555.6</v>
      </c>
      <c r="N194" s="8">
        <v>88392.06</v>
      </c>
      <c r="O194" s="8" t="str">
        <f t="shared" si="17"/>
        <v>Not Fraud</v>
      </c>
      <c r="P194" s="8">
        <v>0</v>
      </c>
      <c r="Q194" s="8" t="s">
        <v>1025</v>
      </c>
      <c r="R194" s="8" t="s">
        <v>1026</v>
      </c>
      <c r="S194" s="8">
        <v>2432</v>
      </c>
      <c r="T194" s="8">
        <v>248</v>
      </c>
      <c r="U194" s="8">
        <v>6045.26</v>
      </c>
      <c r="V194" s="8">
        <v>4</v>
      </c>
      <c r="W194" s="8">
        <v>0.9</v>
      </c>
      <c r="X194" s="8">
        <v>0</v>
      </c>
      <c r="Y194" s="20" t="str">
        <f t="shared" ref="Y194:Y257" si="18">IF(OR(L194&lt;$AF$10,L194&gt;$AF$11),"Outlier","Normal")</f>
        <v>Normal</v>
      </c>
      <c r="Z194" s="20">
        <f t="shared" ref="Z194:Z257" si="19">(L194-$AK$9)/$AM$9</f>
        <v>-0.50643683744143209</v>
      </c>
      <c r="AA194" s="20">
        <f t="shared" ref="AA194:AA257" si="20">(M194-$AK$6)/$AM$6</f>
        <v>-0.86505394667046809</v>
      </c>
      <c r="AB194" s="20">
        <f t="shared" ref="AB194:AB257" si="21">(N194-$AK$3)/$AM$3</f>
        <v>1.4616347183223668</v>
      </c>
      <c r="AC194" s="20">
        <f t="shared" ref="AC194:AC257" si="22">(H194-$AK$4)/$AM$4</f>
        <v>1.8070930560732168</v>
      </c>
      <c r="AD194" s="20"/>
    </row>
    <row r="195" spans="1:30" x14ac:dyDescent="0.45">
      <c r="A195" s="8" t="s">
        <v>346</v>
      </c>
      <c r="B195" s="8" t="s">
        <v>841</v>
      </c>
      <c r="C195" s="8">
        <v>81.400000000000006</v>
      </c>
      <c r="D195" s="8" t="s">
        <v>1009</v>
      </c>
      <c r="E195" s="8" t="s">
        <v>1012</v>
      </c>
      <c r="F195" s="8" t="s">
        <v>1018</v>
      </c>
      <c r="G195" s="8" t="s">
        <v>1023</v>
      </c>
      <c r="H195" s="8">
        <v>97470.81</v>
      </c>
      <c r="I195" s="8">
        <v>716</v>
      </c>
      <c r="J195" s="8">
        <v>1</v>
      </c>
      <c r="K195" s="8">
        <v>1</v>
      </c>
      <c r="L195" s="8">
        <v>944.04</v>
      </c>
      <c r="M195" s="8">
        <v>1289.31</v>
      </c>
      <c r="N195" s="8">
        <v>67112.27</v>
      </c>
      <c r="O195" s="8" t="str">
        <f t="shared" ref="O195:O258" si="23">IF(P195=1, "Fraud", "Not Fraud")</f>
        <v>Fraud</v>
      </c>
      <c r="P195" s="8">
        <v>1</v>
      </c>
      <c r="Q195" s="8" t="s">
        <v>1026</v>
      </c>
      <c r="R195" s="8" t="s">
        <v>1030</v>
      </c>
      <c r="S195" s="8">
        <v>3707</v>
      </c>
      <c r="T195" s="8">
        <v>161</v>
      </c>
      <c r="U195" s="8">
        <v>6638.39</v>
      </c>
      <c r="V195" s="8">
        <v>3</v>
      </c>
      <c r="W195" s="8">
        <v>2.9</v>
      </c>
      <c r="X195" s="8">
        <v>846.34</v>
      </c>
      <c r="Y195" s="20" t="str">
        <f t="shared" si="18"/>
        <v>Normal</v>
      </c>
      <c r="Z195" s="20">
        <f t="shared" si="19"/>
        <v>-0.50599781047467751</v>
      </c>
      <c r="AA195" s="20">
        <f t="shared" si="20"/>
        <v>-0.92824870071308763</v>
      </c>
      <c r="AB195" s="20">
        <f t="shared" si="21"/>
        <v>0.35779022111415959</v>
      </c>
      <c r="AC195" s="20">
        <f t="shared" si="22"/>
        <v>0.29220780622649384</v>
      </c>
      <c r="AD195" s="20"/>
    </row>
    <row r="196" spans="1:30" x14ac:dyDescent="0.45">
      <c r="A196" s="8" t="s">
        <v>317</v>
      </c>
      <c r="B196" s="8" t="s">
        <v>813</v>
      </c>
      <c r="C196" s="8">
        <v>55.4</v>
      </c>
      <c r="D196" s="8" t="s">
        <v>1010</v>
      </c>
      <c r="E196" s="8" t="s">
        <v>1011</v>
      </c>
      <c r="F196" s="8" t="s">
        <v>1016</v>
      </c>
      <c r="G196" s="8" t="s">
        <v>1022</v>
      </c>
      <c r="H196" s="8">
        <v>131902.29</v>
      </c>
      <c r="I196" s="8">
        <v>728</v>
      </c>
      <c r="J196" s="8">
        <v>1</v>
      </c>
      <c r="K196" s="8">
        <v>1</v>
      </c>
      <c r="L196" s="8">
        <v>947.54</v>
      </c>
      <c r="M196" s="8">
        <v>30455.200000000001</v>
      </c>
      <c r="N196" s="8">
        <v>100472.12</v>
      </c>
      <c r="O196" s="8" t="str">
        <f t="shared" si="23"/>
        <v>Not Fraud</v>
      </c>
      <c r="P196" s="8">
        <v>0</v>
      </c>
      <c r="Q196" s="8" t="s">
        <v>1027</v>
      </c>
      <c r="R196" s="8" t="s">
        <v>1029</v>
      </c>
      <c r="S196" s="8">
        <v>3521</v>
      </c>
      <c r="T196" s="8">
        <v>241</v>
      </c>
      <c r="U196" s="8">
        <v>1089.69</v>
      </c>
      <c r="V196" s="8">
        <v>1.1000000000000001</v>
      </c>
      <c r="W196" s="8">
        <v>5.7</v>
      </c>
      <c r="X196" s="8">
        <v>0</v>
      </c>
      <c r="Y196" s="20" t="str">
        <f t="shared" si="18"/>
        <v>Normal</v>
      </c>
      <c r="Z196" s="20">
        <f t="shared" si="19"/>
        <v>-0.50432759918811099</v>
      </c>
      <c r="AA196" s="20">
        <f t="shared" si="20"/>
        <v>0.52728774432248848</v>
      </c>
      <c r="AB196" s="20">
        <f t="shared" si="21"/>
        <v>2.0882625072688259</v>
      </c>
      <c r="AC196" s="20">
        <f t="shared" si="22"/>
        <v>1.7373481978346761</v>
      </c>
      <c r="AD196" s="20"/>
    </row>
    <row r="197" spans="1:30" x14ac:dyDescent="0.45">
      <c r="A197" s="8" t="s">
        <v>39</v>
      </c>
      <c r="B197" s="8" t="s">
        <v>539</v>
      </c>
      <c r="C197" s="8">
        <v>34.799999999999997</v>
      </c>
      <c r="D197" s="8" t="s">
        <v>1010</v>
      </c>
      <c r="E197" s="8" t="s">
        <v>1014</v>
      </c>
      <c r="F197" s="8" t="s">
        <v>1016</v>
      </c>
      <c r="G197" s="8" t="s">
        <v>1020</v>
      </c>
      <c r="H197" s="8">
        <v>93113.02</v>
      </c>
      <c r="I197" s="8">
        <v>646</v>
      </c>
      <c r="J197" s="8">
        <v>1</v>
      </c>
      <c r="K197" s="8">
        <v>0</v>
      </c>
      <c r="L197" s="8">
        <v>950.65</v>
      </c>
      <c r="M197" s="8">
        <v>35256.29</v>
      </c>
      <c r="N197" s="8">
        <v>73939.09</v>
      </c>
      <c r="O197" s="8" t="str">
        <f t="shared" si="23"/>
        <v>Fraud</v>
      </c>
      <c r="P197" s="8">
        <v>1</v>
      </c>
      <c r="Q197" s="8" t="s">
        <v>1026</v>
      </c>
      <c r="R197" s="8" t="s">
        <v>1028</v>
      </c>
      <c r="S197" s="8">
        <v>3752</v>
      </c>
      <c r="T197" s="8">
        <v>231</v>
      </c>
      <c r="U197" s="8">
        <v>472.16</v>
      </c>
      <c r="V197" s="8">
        <v>7.6</v>
      </c>
      <c r="W197" s="8">
        <v>5.4</v>
      </c>
      <c r="X197" s="8">
        <v>678.48</v>
      </c>
      <c r="Y197" s="20" t="str">
        <f t="shared" si="18"/>
        <v>Normal</v>
      </c>
      <c r="Z197" s="20">
        <f t="shared" si="19"/>
        <v>-0.50284349715919052</v>
      </c>
      <c r="AA197" s="20">
        <f t="shared" si="20"/>
        <v>0.76688823211476409</v>
      </c>
      <c r="AB197" s="20">
        <f t="shared" si="21"/>
        <v>0.7119171974814511</v>
      </c>
      <c r="AC197" s="20">
        <f t="shared" si="22"/>
        <v>0.10930488288000363</v>
      </c>
      <c r="AD197" s="20"/>
    </row>
    <row r="198" spans="1:30" x14ac:dyDescent="0.45">
      <c r="A198" s="8" t="s">
        <v>469</v>
      </c>
      <c r="B198" s="8" t="s">
        <v>958</v>
      </c>
      <c r="C198" s="8">
        <v>55.5</v>
      </c>
      <c r="D198" s="8" t="s">
        <v>1009</v>
      </c>
      <c r="E198" s="8" t="s">
        <v>1012</v>
      </c>
      <c r="F198" s="8" t="s">
        <v>1016</v>
      </c>
      <c r="G198" s="8" t="s">
        <v>1023</v>
      </c>
      <c r="H198" s="8">
        <v>58562.59</v>
      </c>
      <c r="I198" s="8">
        <v>723</v>
      </c>
      <c r="J198" s="8">
        <v>0</v>
      </c>
      <c r="K198" s="8">
        <v>1</v>
      </c>
      <c r="L198" s="8">
        <v>951.89</v>
      </c>
      <c r="M198" s="8">
        <v>11261.19</v>
      </c>
      <c r="N198" s="8">
        <v>54120.66</v>
      </c>
      <c r="O198" s="8" t="str">
        <f t="shared" si="23"/>
        <v>Fraud</v>
      </c>
      <c r="P198" s="8">
        <v>1</v>
      </c>
      <c r="Q198" s="8" t="s">
        <v>1026</v>
      </c>
      <c r="R198" s="8" t="s">
        <v>1028</v>
      </c>
      <c r="S198" s="8">
        <v>4507</v>
      </c>
      <c r="T198" s="8">
        <v>97</v>
      </c>
      <c r="U198" s="8">
        <v>7157.21</v>
      </c>
      <c r="V198" s="8">
        <v>0.5</v>
      </c>
      <c r="W198" s="8">
        <v>7.6</v>
      </c>
      <c r="X198" s="8">
        <v>777.22</v>
      </c>
      <c r="Y198" s="20" t="str">
        <f t="shared" si="18"/>
        <v>Normal</v>
      </c>
      <c r="Z198" s="20">
        <f t="shared" si="19"/>
        <v>-0.50225176516052106</v>
      </c>
      <c r="AA198" s="20">
        <f t="shared" si="20"/>
        <v>-0.43059768558818107</v>
      </c>
      <c r="AB198" s="20">
        <f t="shared" si="21"/>
        <v>-0.31612231319069584</v>
      </c>
      <c r="AC198" s="20">
        <f t="shared" si="22"/>
        <v>-1.3408280170252891</v>
      </c>
      <c r="AD198" s="20"/>
    </row>
    <row r="199" spans="1:30" x14ac:dyDescent="0.45">
      <c r="A199" s="8" t="s">
        <v>169</v>
      </c>
      <c r="B199" s="8" t="s">
        <v>667</v>
      </c>
      <c r="C199" s="8">
        <v>31.4</v>
      </c>
      <c r="D199" s="8" t="s">
        <v>1010</v>
      </c>
      <c r="E199" s="8" t="s">
        <v>1013</v>
      </c>
      <c r="F199" s="8" t="s">
        <v>1019</v>
      </c>
      <c r="G199" s="8" t="s">
        <v>1023</v>
      </c>
      <c r="H199" s="8">
        <v>113246.93</v>
      </c>
      <c r="I199" s="8">
        <v>451</v>
      </c>
      <c r="J199" s="8">
        <v>0</v>
      </c>
      <c r="K199" s="8">
        <v>1</v>
      </c>
      <c r="L199" s="8">
        <v>986.59</v>
      </c>
      <c r="M199" s="8">
        <v>1510.32</v>
      </c>
      <c r="N199" s="8">
        <v>76142.45</v>
      </c>
      <c r="O199" s="8" t="str">
        <f t="shared" si="23"/>
        <v>Not Fraud</v>
      </c>
      <c r="P199" s="8">
        <v>0</v>
      </c>
      <c r="Q199" s="8" t="s">
        <v>1026</v>
      </c>
      <c r="R199" s="8" t="s">
        <v>1029</v>
      </c>
      <c r="S199" s="8">
        <v>1329</v>
      </c>
      <c r="T199" s="8">
        <v>192</v>
      </c>
      <c r="U199" s="8">
        <v>8580.59</v>
      </c>
      <c r="V199" s="8">
        <v>1.9</v>
      </c>
      <c r="W199" s="8">
        <v>1.1000000000000001</v>
      </c>
      <c r="X199" s="8">
        <v>0</v>
      </c>
      <c r="Y199" s="20" t="str">
        <f t="shared" si="18"/>
        <v>Normal</v>
      </c>
      <c r="Z199" s="20">
        <f t="shared" si="19"/>
        <v>-0.48569281326227548</v>
      </c>
      <c r="AA199" s="20">
        <f t="shared" si="20"/>
        <v>-0.9172191003917084</v>
      </c>
      <c r="AB199" s="20">
        <f t="shared" si="21"/>
        <v>0.82621187855530931</v>
      </c>
      <c r="AC199" s="20">
        <f t="shared" si="22"/>
        <v>0.95435501090249564</v>
      </c>
      <c r="AD199" s="20"/>
    </row>
    <row r="200" spans="1:30" x14ac:dyDescent="0.45">
      <c r="A200" s="8" t="s">
        <v>464</v>
      </c>
      <c r="B200" s="8" t="s">
        <v>953</v>
      </c>
      <c r="C200" s="8">
        <v>49.5</v>
      </c>
      <c r="D200" s="8" t="s">
        <v>1010</v>
      </c>
      <c r="E200" s="8" t="s">
        <v>1011</v>
      </c>
      <c r="F200" s="8" t="s">
        <v>1016</v>
      </c>
      <c r="G200" s="8" t="s">
        <v>1023</v>
      </c>
      <c r="H200" s="8">
        <v>128936.42</v>
      </c>
      <c r="I200" s="8">
        <v>688</v>
      </c>
      <c r="J200" s="8">
        <v>0</v>
      </c>
      <c r="K200" s="8">
        <v>1</v>
      </c>
      <c r="L200" s="8">
        <v>989.37</v>
      </c>
      <c r="M200" s="8">
        <v>3674</v>
      </c>
      <c r="N200" s="8">
        <v>73374.83</v>
      </c>
      <c r="O200" s="8" t="str">
        <f t="shared" si="23"/>
        <v>Not Fraud</v>
      </c>
      <c r="P200" s="8">
        <v>0</v>
      </c>
      <c r="Q200" s="8" t="s">
        <v>1027</v>
      </c>
      <c r="R200" s="8" t="s">
        <v>1030</v>
      </c>
      <c r="S200" s="8">
        <v>147</v>
      </c>
      <c r="T200" s="8">
        <v>192</v>
      </c>
      <c r="U200" s="8">
        <v>2388.4699999999998</v>
      </c>
      <c r="V200" s="8">
        <v>1.7</v>
      </c>
      <c r="W200" s="8">
        <v>0.9</v>
      </c>
      <c r="X200" s="8">
        <v>0</v>
      </c>
      <c r="Y200" s="20" t="str">
        <f t="shared" si="18"/>
        <v>Normal</v>
      </c>
      <c r="Z200" s="20">
        <f t="shared" si="19"/>
        <v>-0.48436618829751693</v>
      </c>
      <c r="AA200" s="20">
        <f t="shared" si="20"/>
        <v>-0.80923970749834651</v>
      </c>
      <c r="AB200" s="20">
        <f t="shared" si="21"/>
        <v>0.68264739284547038</v>
      </c>
      <c r="AC200" s="20">
        <f t="shared" si="22"/>
        <v>1.6128662257190722</v>
      </c>
      <c r="AD200" s="20"/>
    </row>
    <row r="201" spans="1:30" x14ac:dyDescent="0.45">
      <c r="A201" s="8" t="s">
        <v>288</v>
      </c>
      <c r="B201" s="8" t="s">
        <v>784</v>
      </c>
      <c r="C201" s="8">
        <v>31.3</v>
      </c>
      <c r="D201" s="8" t="s">
        <v>1009</v>
      </c>
      <c r="E201" s="8" t="s">
        <v>1012</v>
      </c>
      <c r="F201" s="8" t="s">
        <v>1016</v>
      </c>
      <c r="G201" s="8" t="s">
        <v>1023</v>
      </c>
      <c r="H201" s="8">
        <v>70670.38</v>
      </c>
      <c r="I201" s="8">
        <v>578</v>
      </c>
      <c r="J201" s="8">
        <v>0</v>
      </c>
      <c r="K201" s="8">
        <v>1</v>
      </c>
      <c r="L201" s="8">
        <v>1002.38</v>
      </c>
      <c r="M201" s="8">
        <v>43461.21</v>
      </c>
      <c r="N201" s="8">
        <v>27136.22</v>
      </c>
      <c r="O201" s="8" t="str">
        <f t="shared" si="23"/>
        <v>Fraud</v>
      </c>
      <c r="P201" s="8">
        <v>1</v>
      </c>
      <c r="Q201" s="8" t="s">
        <v>1026</v>
      </c>
      <c r="R201" s="8" t="s">
        <v>1026</v>
      </c>
      <c r="S201" s="8">
        <v>1536</v>
      </c>
      <c r="T201" s="8">
        <v>160</v>
      </c>
      <c r="U201" s="8">
        <v>8257.0499999999993</v>
      </c>
      <c r="V201" s="8">
        <v>5.4</v>
      </c>
      <c r="W201" s="8">
        <v>1.2</v>
      </c>
      <c r="X201" s="8">
        <v>732.2</v>
      </c>
      <c r="Y201" s="20" t="str">
        <f t="shared" si="18"/>
        <v>Normal</v>
      </c>
      <c r="Z201" s="20">
        <f t="shared" si="19"/>
        <v>-0.47815777434373669</v>
      </c>
      <c r="AA201" s="20">
        <f t="shared" si="20"/>
        <v>1.1763583387565053</v>
      </c>
      <c r="AB201" s="20">
        <f t="shared" si="21"/>
        <v>-1.7158835704326632</v>
      </c>
      <c r="AC201" s="20">
        <f t="shared" si="22"/>
        <v>-0.83264607474137797</v>
      </c>
      <c r="AD201" s="20"/>
    </row>
    <row r="202" spans="1:30" x14ac:dyDescent="0.45">
      <c r="A202" s="8" t="s">
        <v>489</v>
      </c>
      <c r="B202" s="8" t="s">
        <v>978</v>
      </c>
      <c r="C202" s="8">
        <v>59.2</v>
      </c>
      <c r="D202" s="8" t="s">
        <v>1009</v>
      </c>
      <c r="E202" s="8" t="s">
        <v>1012</v>
      </c>
      <c r="F202" s="8" t="s">
        <v>1017</v>
      </c>
      <c r="G202" s="8" t="s">
        <v>1023</v>
      </c>
      <c r="H202" s="8">
        <v>102974.7</v>
      </c>
      <c r="I202" s="8">
        <v>608</v>
      </c>
      <c r="J202" s="8">
        <v>1</v>
      </c>
      <c r="K202" s="8">
        <v>1</v>
      </c>
      <c r="L202" s="8">
        <v>1022.75</v>
      </c>
      <c r="M202" s="8">
        <v>39529.86</v>
      </c>
      <c r="N202" s="8">
        <v>81198.73</v>
      </c>
      <c r="O202" s="8" t="str">
        <f t="shared" si="23"/>
        <v>Fraud</v>
      </c>
      <c r="P202" s="8">
        <v>1</v>
      </c>
      <c r="Q202" s="8" t="s">
        <v>1027</v>
      </c>
      <c r="R202" s="8" t="s">
        <v>1026</v>
      </c>
      <c r="S202" s="8">
        <v>2376</v>
      </c>
      <c r="T202" s="8">
        <v>177</v>
      </c>
      <c r="U202" s="8">
        <v>2311.12</v>
      </c>
      <c r="V202" s="8">
        <v>2.9</v>
      </c>
      <c r="W202" s="8">
        <v>3.7</v>
      </c>
      <c r="X202" s="8">
        <v>681.68</v>
      </c>
      <c r="Y202" s="20" t="str">
        <f t="shared" si="18"/>
        <v>Normal</v>
      </c>
      <c r="Z202" s="20">
        <f t="shared" si="19"/>
        <v>-0.46843714465591929</v>
      </c>
      <c r="AA202" s="20">
        <f t="shared" si="20"/>
        <v>0.98016260452070425</v>
      </c>
      <c r="AB202" s="20">
        <f t="shared" si="21"/>
        <v>1.0884958040237427</v>
      </c>
      <c r="AC202" s="20">
        <f t="shared" si="22"/>
        <v>0.52321425003803945</v>
      </c>
      <c r="AD202" s="20"/>
    </row>
    <row r="203" spans="1:30" x14ac:dyDescent="0.45">
      <c r="A203" s="8" t="s">
        <v>195</v>
      </c>
      <c r="B203" s="8" t="s">
        <v>693</v>
      </c>
      <c r="C203" s="8">
        <v>48.8</v>
      </c>
      <c r="D203" s="8" t="s">
        <v>1010</v>
      </c>
      <c r="E203" s="8" t="s">
        <v>1014</v>
      </c>
      <c r="F203" s="8" t="s">
        <v>1017</v>
      </c>
      <c r="G203" s="8" t="s">
        <v>1021</v>
      </c>
      <c r="H203" s="8">
        <v>50475.58</v>
      </c>
      <c r="I203" s="8">
        <v>606</v>
      </c>
      <c r="J203" s="8">
        <v>0</v>
      </c>
      <c r="K203" s="8">
        <v>1</v>
      </c>
      <c r="L203" s="8">
        <v>1022.84</v>
      </c>
      <c r="M203" s="8">
        <v>10308.040000000001</v>
      </c>
      <c r="N203" s="8">
        <v>50475.58</v>
      </c>
      <c r="O203" s="8" t="str">
        <f t="shared" si="23"/>
        <v>Not Fraud</v>
      </c>
      <c r="P203" s="8">
        <v>0</v>
      </c>
      <c r="Q203" s="8" t="s">
        <v>1027</v>
      </c>
      <c r="R203" s="8" t="s">
        <v>1026</v>
      </c>
      <c r="S203" s="8">
        <v>3946</v>
      </c>
      <c r="T203" s="8">
        <v>181</v>
      </c>
      <c r="U203" s="8">
        <v>6812.36</v>
      </c>
      <c r="V203" s="8">
        <v>3.9</v>
      </c>
      <c r="W203" s="8">
        <v>7.6</v>
      </c>
      <c r="X203" s="8">
        <v>0</v>
      </c>
      <c r="Y203" s="20" t="str">
        <f t="shared" si="18"/>
        <v>Normal</v>
      </c>
      <c r="Z203" s="20">
        <f t="shared" si="19"/>
        <v>-0.46839419636569329</v>
      </c>
      <c r="AA203" s="20">
        <f t="shared" si="20"/>
        <v>-0.47816505152783384</v>
      </c>
      <c r="AB203" s="20">
        <f t="shared" si="21"/>
        <v>-0.50520319697214744</v>
      </c>
      <c r="AC203" s="20">
        <f t="shared" si="22"/>
        <v>-1.6802518465655609</v>
      </c>
      <c r="AD203" s="20"/>
    </row>
    <row r="204" spans="1:30" x14ac:dyDescent="0.45">
      <c r="A204" s="8" t="s">
        <v>447</v>
      </c>
      <c r="B204" s="8" t="s">
        <v>937</v>
      </c>
      <c r="C204" s="8">
        <v>59.7</v>
      </c>
      <c r="D204" s="8" t="s">
        <v>1010</v>
      </c>
      <c r="E204" s="8" t="s">
        <v>1014</v>
      </c>
      <c r="F204" s="8" t="s">
        <v>1016</v>
      </c>
      <c r="G204" s="8" t="s">
        <v>1022</v>
      </c>
      <c r="H204" s="8">
        <v>114420.97</v>
      </c>
      <c r="I204" s="8">
        <v>791</v>
      </c>
      <c r="J204" s="8">
        <v>0</v>
      </c>
      <c r="K204" s="8">
        <v>0</v>
      </c>
      <c r="L204" s="8">
        <v>1024.8900000000001</v>
      </c>
      <c r="M204" s="8">
        <v>5931.69</v>
      </c>
      <c r="N204" s="8">
        <v>70690.11</v>
      </c>
      <c r="O204" s="8" t="str">
        <f t="shared" si="23"/>
        <v>Fraud</v>
      </c>
      <c r="P204" s="8">
        <v>1</v>
      </c>
      <c r="Q204" s="8" t="s">
        <v>1025</v>
      </c>
      <c r="R204" s="8" t="s">
        <v>1030</v>
      </c>
      <c r="S204" s="8">
        <v>4823</v>
      </c>
      <c r="T204" s="8">
        <v>37</v>
      </c>
      <c r="U204" s="8">
        <v>4396.0200000000004</v>
      </c>
      <c r="V204" s="8">
        <v>1.8</v>
      </c>
      <c r="W204" s="8">
        <v>5.2</v>
      </c>
      <c r="X204" s="8">
        <v>753.47</v>
      </c>
      <c r="Y204" s="20" t="str">
        <f t="shared" si="18"/>
        <v>Normal</v>
      </c>
      <c r="Z204" s="20">
        <f t="shared" si="19"/>
        <v>-0.46741592975498997</v>
      </c>
      <c r="AA204" s="20">
        <f t="shared" si="20"/>
        <v>-0.69656870460447395</v>
      </c>
      <c r="AB204" s="20">
        <f t="shared" si="21"/>
        <v>0.54338317085151178</v>
      </c>
      <c r="AC204" s="20">
        <f t="shared" si="22"/>
        <v>1.0036312146951785</v>
      </c>
      <c r="AD204" s="20"/>
    </row>
    <row r="205" spans="1:30" x14ac:dyDescent="0.45">
      <c r="A205" s="8" t="s">
        <v>443</v>
      </c>
      <c r="B205" s="8" t="s">
        <v>933</v>
      </c>
      <c r="C205" s="8">
        <v>80.900000000000006</v>
      </c>
      <c r="D205" s="8" t="s">
        <v>1010</v>
      </c>
      <c r="E205" s="8" t="s">
        <v>1014</v>
      </c>
      <c r="F205" s="8" t="s">
        <v>1017</v>
      </c>
      <c r="G205" s="8" t="s">
        <v>1020</v>
      </c>
      <c r="H205" s="8">
        <v>128481.39</v>
      </c>
      <c r="I205" s="8">
        <v>738</v>
      </c>
      <c r="J205" s="8">
        <v>1</v>
      </c>
      <c r="K205" s="8">
        <v>1</v>
      </c>
      <c r="L205" s="8">
        <v>1029.2</v>
      </c>
      <c r="M205" s="8">
        <v>34324.129999999997</v>
      </c>
      <c r="N205" s="8">
        <v>99913.35</v>
      </c>
      <c r="O205" s="8" t="str">
        <f t="shared" si="23"/>
        <v>Not Fraud</v>
      </c>
      <c r="P205" s="8">
        <v>0</v>
      </c>
      <c r="Q205" s="8" t="s">
        <v>1027</v>
      </c>
      <c r="R205" s="8" t="s">
        <v>1028</v>
      </c>
      <c r="S205" s="8">
        <v>1287</v>
      </c>
      <c r="T205" s="8">
        <v>173</v>
      </c>
      <c r="U205" s="8">
        <v>8059.87</v>
      </c>
      <c r="V205" s="8">
        <v>6.5</v>
      </c>
      <c r="W205" s="8">
        <v>3</v>
      </c>
      <c r="X205" s="8">
        <v>0</v>
      </c>
      <c r="Y205" s="20" t="str">
        <f t="shared" si="18"/>
        <v>Normal</v>
      </c>
      <c r="Z205" s="20">
        <f t="shared" si="19"/>
        <v>-0.46535918385638947</v>
      </c>
      <c r="AA205" s="20">
        <f t="shared" si="20"/>
        <v>0.72036838126830038</v>
      </c>
      <c r="AB205" s="20">
        <f t="shared" si="21"/>
        <v>2.0592774848741024</v>
      </c>
      <c r="AC205" s="20">
        <f t="shared" si="22"/>
        <v>1.5937679403013827</v>
      </c>
      <c r="AD205" s="20"/>
    </row>
    <row r="206" spans="1:30" x14ac:dyDescent="0.45">
      <c r="A206" s="8" t="s">
        <v>436</v>
      </c>
      <c r="B206" s="8" t="s">
        <v>926</v>
      </c>
      <c r="C206" s="8">
        <v>69.2</v>
      </c>
      <c r="D206" s="8" t="s">
        <v>1010</v>
      </c>
      <c r="E206" s="8" t="s">
        <v>1012</v>
      </c>
      <c r="F206" s="8" t="s">
        <v>1016</v>
      </c>
      <c r="G206" s="8" t="s">
        <v>1020</v>
      </c>
      <c r="H206" s="8">
        <v>91243.97</v>
      </c>
      <c r="I206" s="8">
        <v>574</v>
      </c>
      <c r="J206" s="8">
        <v>1</v>
      </c>
      <c r="K206" s="8">
        <v>0</v>
      </c>
      <c r="L206" s="8">
        <v>1030.0899999999999</v>
      </c>
      <c r="M206" s="8">
        <v>1523.89</v>
      </c>
      <c r="N206" s="8">
        <v>88031.97</v>
      </c>
      <c r="O206" s="8" t="str">
        <f t="shared" si="23"/>
        <v>Fraud</v>
      </c>
      <c r="P206" s="8">
        <v>1</v>
      </c>
      <c r="Q206" s="8" t="s">
        <v>1024</v>
      </c>
      <c r="R206" s="8" t="s">
        <v>1029</v>
      </c>
      <c r="S206" s="8">
        <v>3086</v>
      </c>
      <c r="T206" s="8">
        <v>84</v>
      </c>
      <c r="U206" s="8">
        <v>5339.45</v>
      </c>
      <c r="V206" s="8">
        <v>4</v>
      </c>
      <c r="W206" s="8">
        <v>4.9000000000000004</v>
      </c>
      <c r="X206" s="8">
        <v>749.63</v>
      </c>
      <c r="Y206" s="20" t="str">
        <f t="shared" si="18"/>
        <v>Normal</v>
      </c>
      <c r="Z206" s="20">
        <f t="shared" si="19"/>
        <v>-0.46493447298637691</v>
      </c>
      <c r="AA206" s="20">
        <f t="shared" si="20"/>
        <v>-0.91654188363065181</v>
      </c>
      <c r="AB206" s="20">
        <f t="shared" si="21"/>
        <v>1.4429558044327231</v>
      </c>
      <c r="AC206" s="20">
        <f t="shared" si="22"/>
        <v>3.0858076383876346E-2</v>
      </c>
      <c r="AD206" s="20"/>
    </row>
    <row r="207" spans="1:30" x14ac:dyDescent="0.45">
      <c r="A207" s="8" t="s">
        <v>295</v>
      </c>
      <c r="B207" s="8" t="s">
        <v>791</v>
      </c>
      <c r="C207" s="8">
        <v>67.400000000000006</v>
      </c>
      <c r="D207" s="8" t="s">
        <v>1010</v>
      </c>
      <c r="E207" s="8" t="s">
        <v>1014</v>
      </c>
      <c r="F207" s="8" t="s">
        <v>1016</v>
      </c>
      <c r="G207" s="8" t="s">
        <v>1021</v>
      </c>
      <c r="H207" s="8">
        <v>66117.06</v>
      </c>
      <c r="I207" s="8">
        <v>551</v>
      </c>
      <c r="J207" s="8">
        <v>1</v>
      </c>
      <c r="K207" s="8">
        <v>0</v>
      </c>
      <c r="L207" s="8">
        <v>1033.42</v>
      </c>
      <c r="M207" s="8">
        <v>25470.560000000001</v>
      </c>
      <c r="N207" s="8">
        <v>52496.07</v>
      </c>
      <c r="O207" s="8" t="str">
        <f t="shared" si="23"/>
        <v>Fraud</v>
      </c>
      <c r="P207" s="8">
        <v>1</v>
      </c>
      <c r="Q207" s="8" t="s">
        <v>1025</v>
      </c>
      <c r="R207" s="8" t="s">
        <v>1028</v>
      </c>
      <c r="S207" s="8">
        <v>4454</v>
      </c>
      <c r="T207" s="8">
        <v>181</v>
      </c>
      <c r="U207" s="8">
        <v>3997.1</v>
      </c>
      <c r="V207" s="8">
        <v>6.5</v>
      </c>
      <c r="W207" s="8">
        <v>4</v>
      </c>
      <c r="X207" s="8">
        <v>626.15</v>
      </c>
      <c r="Y207" s="20" t="str">
        <f t="shared" si="18"/>
        <v>Normal</v>
      </c>
      <c r="Z207" s="20">
        <f t="shared" si="19"/>
        <v>-0.46334538624801491</v>
      </c>
      <c r="AA207" s="20">
        <f t="shared" si="20"/>
        <v>0.27852711382631179</v>
      </c>
      <c r="AB207" s="20">
        <f t="shared" si="21"/>
        <v>-0.4003945137960348</v>
      </c>
      <c r="AC207" s="20">
        <f t="shared" si="22"/>
        <v>-1.0237556828069441</v>
      </c>
      <c r="AD207" s="20"/>
    </row>
    <row r="208" spans="1:30" x14ac:dyDescent="0.45">
      <c r="A208" s="8" t="s">
        <v>145</v>
      </c>
      <c r="B208" s="8" t="s">
        <v>643</v>
      </c>
      <c r="C208" s="8">
        <v>71</v>
      </c>
      <c r="D208" s="8" t="s">
        <v>1009</v>
      </c>
      <c r="E208" s="8" t="s">
        <v>1014</v>
      </c>
      <c r="F208" s="8" t="s">
        <v>1019</v>
      </c>
      <c r="G208" s="8" t="s">
        <v>1021</v>
      </c>
      <c r="H208" s="8">
        <v>134260.53</v>
      </c>
      <c r="I208" s="8">
        <v>689</v>
      </c>
      <c r="J208" s="8">
        <v>1</v>
      </c>
      <c r="K208" s="8">
        <v>1</v>
      </c>
      <c r="L208" s="8">
        <v>1042.8699999999999</v>
      </c>
      <c r="M208" s="8">
        <v>1597.28</v>
      </c>
      <c r="N208" s="8">
        <v>60024.11</v>
      </c>
      <c r="O208" s="8" t="str">
        <f t="shared" si="23"/>
        <v>Not Fraud</v>
      </c>
      <c r="P208" s="8">
        <v>0</v>
      </c>
      <c r="Q208" s="8" t="s">
        <v>1024</v>
      </c>
      <c r="R208" s="8" t="s">
        <v>1030</v>
      </c>
      <c r="S208" s="8">
        <v>479</v>
      </c>
      <c r="T208" s="8">
        <v>234</v>
      </c>
      <c r="U208" s="8">
        <v>147.19</v>
      </c>
      <c r="V208" s="8">
        <v>2</v>
      </c>
      <c r="W208" s="8">
        <v>3.4</v>
      </c>
      <c r="X208" s="8">
        <v>0</v>
      </c>
      <c r="Y208" s="20" t="str">
        <f t="shared" si="18"/>
        <v>Normal</v>
      </c>
      <c r="Z208" s="20">
        <f t="shared" si="19"/>
        <v>-0.45883581577428528</v>
      </c>
      <c r="AA208" s="20">
        <f t="shared" si="20"/>
        <v>-0.9128793237121593</v>
      </c>
      <c r="AB208" s="20">
        <f t="shared" si="21"/>
        <v>-9.8932199034130006E-3</v>
      </c>
      <c r="AC208" s="20">
        <f t="shared" si="22"/>
        <v>1.836327035720996</v>
      </c>
      <c r="AD208" s="20"/>
    </row>
    <row r="209" spans="1:30" x14ac:dyDescent="0.45">
      <c r="A209" s="8" t="s">
        <v>197</v>
      </c>
      <c r="B209" s="8" t="s">
        <v>695</v>
      </c>
      <c r="C209" s="8">
        <v>54.2</v>
      </c>
      <c r="D209" s="8" t="s">
        <v>1010</v>
      </c>
      <c r="E209" s="8" t="s">
        <v>1012</v>
      </c>
      <c r="F209" s="8" t="s">
        <v>1016</v>
      </c>
      <c r="G209" s="8" t="s">
        <v>1020</v>
      </c>
      <c r="H209" s="8">
        <v>100168.54</v>
      </c>
      <c r="I209" s="8">
        <v>554</v>
      </c>
      <c r="J209" s="8">
        <v>0</v>
      </c>
      <c r="K209" s="8">
        <v>0</v>
      </c>
      <c r="L209" s="8">
        <v>1043.31</v>
      </c>
      <c r="M209" s="8">
        <v>113250.75</v>
      </c>
      <c r="N209" s="8">
        <v>65251.23</v>
      </c>
      <c r="O209" s="8" t="str">
        <f t="shared" si="23"/>
        <v>Not Fraud</v>
      </c>
      <c r="P209" s="8">
        <v>0</v>
      </c>
      <c r="Q209" s="8" t="s">
        <v>1024</v>
      </c>
      <c r="R209" s="8" t="s">
        <v>1026</v>
      </c>
      <c r="S209" s="8">
        <v>3376</v>
      </c>
      <c r="T209" s="8">
        <v>80</v>
      </c>
      <c r="U209" s="8">
        <v>2700.9</v>
      </c>
      <c r="V209" s="8">
        <v>5.8</v>
      </c>
      <c r="W209" s="8">
        <v>5.2</v>
      </c>
      <c r="X209" s="8">
        <v>0</v>
      </c>
      <c r="Y209" s="20" t="str">
        <f t="shared" si="18"/>
        <v>Normal</v>
      </c>
      <c r="Z209" s="20">
        <f t="shared" si="19"/>
        <v>-0.4586258463554026</v>
      </c>
      <c r="AA209" s="20">
        <f t="shared" si="20"/>
        <v>4.6592357325980149</v>
      </c>
      <c r="AB209" s="20">
        <f t="shared" si="21"/>
        <v>0.26125267243137829</v>
      </c>
      <c r="AC209" s="20">
        <f t="shared" si="22"/>
        <v>0.40543554400172549</v>
      </c>
      <c r="AD209" s="20"/>
    </row>
    <row r="210" spans="1:30" x14ac:dyDescent="0.45">
      <c r="A210" s="8" t="s">
        <v>89</v>
      </c>
      <c r="B210" s="8" t="s">
        <v>589</v>
      </c>
      <c r="C210" s="8">
        <v>48.9</v>
      </c>
      <c r="D210" s="8" t="s">
        <v>1009</v>
      </c>
      <c r="E210" s="8" t="s">
        <v>1014</v>
      </c>
      <c r="F210" s="8" t="s">
        <v>1016</v>
      </c>
      <c r="G210" s="8" t="s">
        <v>1022</v>
      </c>
      <c r="H210" s="8">
        <v>40796.47</v>
      </c>
      <c r="I210" s="8">
        <v>746</v>
      </c>
      <c r="J210" s="8">
        <v>1</v>
      </c>
      <c r="K210" s="8">
        <v>1</v>
      </c>
      <c r="L210" s="8">
        <v>1044.3599999999999</v>
      </c>
      <c r="M210" s="8">
        <v>15579.06</v>
      </c>
      <c r="N210" s="8">
        <v>24539.35</v>
      </c>
      <c r="O210" s="8" t="str">
        <f t="shared" si="23"/>
        <v>Fraud</v>
      </c>
      <c r="P210" s="8">
        <v>1</v>
      </c>
      <c r="Q210" s="8" t="s">
        <v>1024</v>
      </c>
      <c r="R210" s="8" t="s">
        <v>1026</v>
      </c>
      <c r="S210" s="8">
        <v>3302</v>
      </c>
      <c r="T210" s="8">
        <v>282</v>
      </c>
      <c r="U210" s="8">
        <v>1423.8</v>
      </c>
      <c r="V210" s="8">
        <v>3</v>
      </c>
      <c r="W210" s="8">
        <v>6</v>
      </c>
      <c r="X210" s="8">
        <v>599.16</v>
      </c>
      <c r="Y210" s="20" t="str">
        <f t="shared" si="18"/>
        <v>Normal</v>
      </c>
      <c r="Z210" s="20">
        <f t="shared" si="19"/>
        <v>-0.45812478296943265</v>
      </c>
      <c r="AA210" s="20">
        <f t="shared" si="20"/>
        <v>-0.21511250238527657</v>
      </c>
      <c r="AB210" s="20">
        <f t="shared" si="21"/>
        <v>-1.850590757837477</v>
      </c>
      <c r="AC210" s="20">
        <f t="shared" si="22"/>
        <v>-2.0864984794671577</v>
      </c>
      <c r="AD210" s="20"/>
    </row>
    <row r="211" spans="1:30" x14ac:dyDescent="0.45">
      <c r="A211" s="8" t="s">
        <v>401</v>
      </c>
      <c r="B211" s="8" t="s">
        <v>894</v>
      </c>
      <c r="C211" s="8">
        <v>82.8</v>
      </c>
      <c r="D211" s="8" t="s">
        <v>1010</v>
      </c>
      <c r="E211" s="8" t="s">
        <v>1012</v>
      </c>
      <c r="F211" s="8" t="s">
        <v>1019</v>
      </c>
      <c r="G211" s="8" t="s">
        <v>1021</v>
      </c>
      <c r="H211" s="8">
        <v>128145.98</v>
      </c>
      <c r="I211" s="8">
        <v>578</v>
      </c>
      <c r="J211" s="8">
        <v>0</v>
      </c>
      <c r="K211" s="8">
        <v>1</v>
      </c>
      <c r="L211" s="8">
        <v>1046.5</v>
      </c>
      <c r="M211" s="8">
        <v>2227.6</v>
      </c>
      <c r="N211" s="8">
        <v>84715.64</v>
      </c>
      <c r="O211" s="8" t="str">
        <f t="shared" si="23"/>
        <v>Fraud</v>
      </c>
      <c r="P211" s="8">
        <v>1</v>
      </c>
      <c r="Q211" s="8" t="s">
        <v>1026</v>
      </c>
      <c r="R211" s="8" t="s">
        <v>1030</v>
      </c>
      <c r="S211" s="8">
        <v>3683</v>
      </c>
      <c r="T211" s="8">
        <v>12</v>
      </c>
      <c r="U211" s="8">
        <v>1028.51</v>
      </c>
      <c r="V211" s="8">
        <v>6.6</v>
      </c>
      <c r="W211" s="8">
        <v>6.7</v>
      </c>
      <c r="X211" s="8">
        <v>525.52</v>
      </c>
      <c r="Y211" s="20" t="str">
        <f t="shared" si="18"/>
        <v>Normal</v>
      </c>
      <c r="Z211" s="20">
        <f t="shared" si="19"/>
        <v>-0.45710356806850339</v>
      </c>
      <c r="AA211" s="20">
        <f t="shared" si="20"/>
        <v>-0.88142292954641221</v>
      </c>
      <c r="AB211" s="20">
        <f t="shared" si="21"/>
        <v>1.2709281377392785</v>
      </c>
      <c r="AC211" s="20">
        <f t="shared" si="22"/>
        <v>1.5796902840766343</v>
      </c>
      <c r="AD211" s="20"/>
    </row>
    <row r="212" spans="1:30" x14ac:dyDescent="0.45">
      <c r="A212" s="8" t="s">
        <v>371</v>
      </c>
      <c r="B212" s="8" t="s">
        <v>866</v>
      </c>
      <c r="C212" s="8">
        <v>39.200000000000003</v>
      </c>
      <c r="D212" s="8" t="s">
        <v>1009</v>
      </c>
      <c r="E212" s="8" t="s">
        <v>1014</v>
      </c>
      <c r="F212" s="8" t="s">
        <v>1016</v>
      </c>
      <c r="G212" s="8" t="s">
        <v>1020</v>
      </c>
      <c r="H212" s="8">
        <v>59041.14</v>
      </c>
      <c r="I212" s="8">
        <v>564</v>
      </c>
      <c r="J212" s="8">
        <v>1</v>
      </c>
      <c r="K212" s="8">
        <v>1</v>
      </c>
      <c r="L212" s="8">
        <v>1056.96</v>
      </c>
      <c r="M212" s="8">
        <v>7974.44</v>
      </c>
      <c r="N212" s="8">
        <v>20597.919999999998</v>
      </c>
      <c r="O212" s="8" t="str">
        <f t="shared" si="23"/>
        <v>Fraud</v>
      </c>
      <c r="P212" s="8">
        <v>1</v>
      </c>
      <c r="Q212" s="8" t="s">
        <v>1024</v>
      </c>
      <c r="R212" s="8" t="s">
        <v>1029</v>
      </c>
      <c r="S212" s="8">
        <v>4487</v>
      </c>
      <c r="T212" s="8">
        <v>189</v>
      </c>
      <c r="U212" s="8">
        <v>368.57</v>
      </c>
      <c r="V212" s="8">
        <v>2.6</v>
      </c>
      <c r="W212" s="8">
        <v>2.9</v>
      </c>
      <c r="X212" s="8">
        <v>847.53</v>
      </c>
      <c r="Y212" s="20" t="str">
        <f t="shared" si="18"/>
        <v>Normal</v>
      </c>
      <c r="Z212" s="20">
        <f t="shared" si="19"/>
        <v>-0.45211202233779302</v>
      </c>
      <c r="AA212" s="20">
        <f t="shared" si="20"/>
        <v>-0.59462437603790441</v>
      </c>
      <c r="AB212" s="20">
        <f t="shared" si="21"/>
        <v>-2.055044176627387</v>
      </c>
      <c r="AC212" s="20">
        <f t="shared" si="22"/>
        <v>-1.3207425622494822</v>
      </c>
      <c r="AD212" s="20"/>
    </row>
    <row r="213" spans="1:30" x14ac:dyDescent="0.45">
      <c r="A213" s="8" t="s">
        <v>72</v>
      </c>
      <c r="B213" s="8" t="s">
        <v>572</v>
      </c>
      <c r="C213" s="8">
        <v>23.6</v>
      </c>
      <c r="D213" s="8" t="s">
        <v>1009</v>
      </c>
      <c r="E213" s="8" t="s">
        <v>1014</v>
      </c>
      <c r="F213" s="8" t="s">
        <v>1019</v>
      </c>
      <c r="G213" s="8" t="s">
        <v>1022</v>
      </c>
      <c r="H213" s="8">
        <v>85265.72</v>
      </c>
      <c r="I213" s="8">
        <v>726</v>
      </c>
      <c r="J213" s="8">
        <v>0</v>
      </c>
      <c r="K213" s="8">
        <v>1</v>
      </c>
      <c r="L213" s="8">
        <v>1058.46</v>
      </c>
      <c r="M213" s="8">
        <v>46538.23</v>
      </c>
      <c r="N213" s="8">
        <v>57881.03</v>
      </c>
      <c r="O213" s="8" t="str">
        <f t="shared" si="23"/>
        <v>Not Fraud</v>
      </c>
      <c r="P213" s="8">
        <v>0</v>
      </c>
      <c r="Q213" s="8" t="s">
        <v>1025</v>
      </c>
      <c r="R213" s="8" t="s">
        <v>1029</v>
      </c>
      <c r="S213" s="8">
        <v>3817</v>
      </c>
      <c r="T213" s="8">
        <v>156</v>
      </c>
      <c r="U213" s="8">
        <v>5130.92</v>
      </c>
      <c r="V213" s="8">
        <v>4.7</v>
      </c>
      <c r="W213" s="8">
        <v>5.6</v>
      </c>
      <c r="X213" s="8">
        <v>0</v>
      </c>
      <c r="Y213" s="20" t="str">
        <f t="shared" si="18"/>
        <v>Normal</v>
      </c>
      <c r="Z213" s="20">
        <f t="shared" si="19"/>
        <v>-0.45139621750069303</v>
      </c>
      <c r="AA213" s="20">
        <f t="shared" si="20"/>
        <v>1.3299183621983881</v>
      </c>
      <c r="AB213" s="20">
        <f t="shared" si="21"/>
        <v>-0.12106100234285282</v>
      </c>
      <c r="AC213" s="20">
        <f t="shared" si="22"/>
        <v>-0.22005796167581826</v>
      </c>
      <c r="AD213" s="20"/>
    </row>
    <row r="214" spans="1:30" x14ac:dyDescent="0.45">
      <c r="A214" s="8" t="s">
        <v>175</v>
      </c>
      <c r="B214" s="8" t="s">
        <v>673</v>
      </c>
      <c r="C214" s="8">
        <v>39.799999999999997</v>
      </c>
      <c r="D214" s="8" t="s">
        <v>1009</v>
      </c>
      <c r="E214" s="8" t="s">
        <v>1012</v>
      </c>
      <c r="F214" s="8" t="s">
        <v>1016</v>
      </c>
      <c r="G214" s="8" t="s">
        <v>1022</v>
      </c>
      <c r="H214" s="8">
        <v>112485.57</v>
      </c>
      <c r="I214" s="8">
        <v>623</v>
      </c>
      <c r="J214" s="8">
        <v>0</v>
      </c>
      <c r="K214" s="8">
        <v>0</v>
      </c>
      <c r="L214" s="8">
        <v>1059.0899999999999</v>
      </c>
      <c r="M214" s="8">
        <v>41478.31</v>
      </c>
      <c r="N214" s="8">
        <v>67848.320000000007</v>
      </c>
      <c r="O214" s="8" t="str">
        <f t="shared" si="23"/>
        <v>Not Fraud</v>
      </c>
      <c r="P214" s="8">
        <v>0</v>
      </c>
      <c r="Q214" s="8" t="s">
        <v>1024</v>
      </c>
      <c r="R214" s="8" t="s">
        <v>1029</v>
      </c>
      <c r="S214" s="8">
        <v>977</v>
      </c>
      <c r="T214" s="8">
        <v>88</v>
      </c>
      <c r="U214" s="8">
        <v>7498.5</v>
      </c>
      <c r="V214" s="8">
        <v>6.1</v>
      </c>
      <c r="W214" s="8">
        <v>10.3</v>
      </c>
      <c r="X214" s="8">
        <v>0</v>
      </c>
      <c r="Y214" s="20" t="str">
        <f t="shared" si="18"/>
        <v>Normal</v>
      </c>
      <c r="Z214" s="20">
        <f t="shared" si="19"/>
        <v>-0.45109557946911111</v>
      </c>
      <c r="AA214" s="20">
        <f t="shared" si="20"/>
        <v>1.0774008505104395</v>
      </c>
      <c r="AB214" s="20">
        <f t="shared" si="21"/>
        <v>0.39597127187500381</v>
      </c>
      <c r="AC214" s="20">
        <f t="shared" si="22"/>
        <v>0.9223996000820841</v>
      </c>
      <c r="AD214" s="20"/>
    </row>
    <row r="215" spans="1:30" x14ac:dyDescent="0.45">
      <c r="A215" s="8" t="s">
        <v>109</v>
      </c>
      <c r="B215" s="8" t="s">
        <v>609</v>
      </c>
      <c r="C215" s="8">
        <v>63.7</v>
      </c>
      <c r="D215" s="8" t="s">
        <v>1010</v>
      </c>
      <c r="E215" s="8" t="s">
        <v>1013</v>
      </c>
      <c r="F215" s="8" t="s">
        <v>1016</v>
      </c>
      <c r="G215" s="8" t="s">
        <v>1021</v>
      </c>
      <c r="H215" s="8">
        <v>117965.81</v>
      </c>
      <c r="I215" s="8">
        <v>497</v>
      </c>
      <c r="J215" s="8">
        <v>0</v>
      </c>
      <c r="K215" s="8">
        <v>0</v>
      </c>
      <c r="L215" s="8">
        <v>1074.43</v>
      </c>
      <c r="M215" s="8">
        <v>14336.81</v>
      </c>
      <c r="N215" s="8">
        <v>71871.13</v>
      </c>
      <c r="O215" s="8" t="str">
        <f t="shared" si="23"/>
        <v>Not Fraud</v>
      </c>
      <c r="P215" s="8">
        <v>0</v>
      </c>
      <c r="Q215" s="8" t="s">
        <v>1027</v>
      </c>
      <c r="R215" s="8" t="s">
        <v>1030</v>
      </c>
      <c r="S215" s="8">
        <v>4656</v>
      </c>
      <c r="T215" s="8">
        <v>118</v>
      </c>
      <c r="U215" s="8">
        <v>4377.3500000000004</v>
      </c>
      <c r="V215" s="8">
        <v>3.8</v>
      </c>
      <c r="W215" s="8">
        <v>6</v>
      </c>
      <c r="X215" s="8">
        <v>0</v>
      </c>
      <c r="Y215" s="20" t="str">
        <f t="shared" si="18"/>
        <v>Normal</v>
      </c>
      <c r="Z215" s="20">
        <f t="shared" si="19"/>
        <v>-0.44377528200170219</v>
      </c>
      <c r="AA215" s="20">
        <f t="shared" si="20"/>
        <v>-0.27710752975613495</v>
      </c>
      <c r="AB215" s="20">
        <f t="shared" si="21"/>
        <v>0.60464610756718618</v>
      </c>
      <c r="AC215" s="20">
        <f t="shared" si="22"/>
        <v>1.1524134182422912</v>
      </c>
      <c r="AD215" s="20"/>
    </row>
    <row r="216" spans="1:30" x14ac:dyDescent="0.45">
      <c r="A216" s="8" t="s">
        <v>44</v>
      </c>
      <c r="B216" s="8" t="s">
        <v>544</v>
      </c>
      <c r="C216" s="8">
        <v>46.6</v>
      </c>
      <c r="D216" s="8" t="s">
        <v>1009</v>
      </c>
      <c r="E216" s="8" t="s">
        <v>1014</v>
      </c>
      <c r="F216" s="8" t="s">
        <v>1016</v>
      </c>
      <c r="G216" s="8" t="s">
        <v>1021</v>
      </c>
      <c r="H216" s="8">
        <v>119061.25</v>
      </c>
      <c r="I216" s="8">
        <v>710</v>
      </c>
      <c r="J216" s="8">
        <v>1</v>
      </c>
      <c r="K216" s="8">
        <v>1</v>
      </c>
      <c r="L216" s="8">
        <v>1076.26</v>
      </c>
      <c r="M216" s="8">
        <v>30600.48</v>
      </c>
      <c r="N216" s="8">
        <v>68954.34</v>
      </c>
      <c r="O216" s="8" t="str">
        <f t="shared" si="23"/>
        <v>Fraud</v>
      </c>
      <c r="P216" s="8">
        <v>1</v>
      </c>
      <c r="Q216" s="8" t="s">
        <v>1025</v>
      </c>
      <c r="R216" s="8" t="s">
        <v>1029</v>
      </c>
      <c r="S216" s="8">
        <v>3421</v>
      </c>
      <c r="T216" s="8">
        <v>6</v>
      </c>
      <c r="U216" s="8">
        <v>1207.68</v>
      </c>
      <c r="V216" s="8">
        <v>6.5</v>
      </c>
      <c r="W216" s="8">
        <v>1.7</v>
      </c>
      <c r="X216" s="8">
        <v>1037.57</v>
      </c>
      <c r="Y216" s="20" t="str">
        <f t="shared" si="18"/>
        <v>Normal</v>
      </c>
      <c r="Z216" s="20">
        <f t="shared" si="19"/>
        <v>-0.44290200010044029</v>
      </c>
      <c r="AA216" s="20">
        <f t="shared" si="20"/>
        <v>0.53453800600607726</v>
      </c>
      <c r="AB216" s="20">
        <f t="shared" si="21"/>
        <v>0.45334374081394585</v>
      </c>
      <c r="AC216" s="20">
        <f t="shared" si="22"/>
        <v>1.1983906632106536</v>
      </c>
      <c r="AD216" s="20"/>
    </row>
    <row r="217" spans="1:30" x14ac:dyDescent="0.45">
      <c r="A217" s="8" t="s">
        <v>75</v>
      </c>
      <c r="B217" s="8" t="s">
        <v>575</v>
      </c>
      <c r="C217" s="8">
        <v>39.799999999999997</v>
      </c>
      <c r="D217" s="8" t="s">
        <v>1009</v>
      </c>
      <c r="E217" s="8" t="s">
        <v>1014</v>
      </c>
      <c r="F217" s="8" t="s">
        <v>1019</v>
      </c>
      <c r="G217" s="8" t="s">
        <v>1021</v>
      </c>
      <c r="H217" s="8">
        <v>93102.7</v>
      </c>
      <c r="I217" s="8">
        <v>602</v>
      </c>
      <c r="J217" s="8">
        <v>1</v>
      </c>
      <c r="K217" s="8">
        <v>1</v>
      </c>
      <c r="L217" s="8">
        <v>1080.45</v>
      </c>
      <c r="M217" s="8">
        <v>11688.63</v>
      </c>
      <c r="N217" s="8">
        <v>65074.79</v>
      </c>
      <c r="O217" s="8" t="str">
        <f t="shared" si="23"/>
        <v>Not Fraud</v>
      </c>
      <c r="P217" s="8">
        <v>0</v>
      </c>
      <c r="Q217" s="8" t="s">
        <v>1024</v>
      </c>
      <c r="R217" s="8" t="s">
        <v>1030</v>
      </c>
      <c r="S217" s="8">
        <v>4557</v>
      </c>
      <c r="T217" s="8">
        <v>270</v>
      </c>
      <c r="U217" s="8">
        <v>2922.97</v>
      </c>
      <c r="V217" s="8">
        <v>5</v>
      </c>
      <c r="W217" s="8">
        <v>6.2</v>
      </c>
      <c r="X217" s="8">
        <v>0</v>
      </c>
      <c r="Y217" s="20" t="str">
        <f t="shared" si="18"/>
        <v>Normal</v>
      </c>
      <c r="Z217" s="20">
        <f t="shared" si="19"/>
        <v>-0.44090251858880769</v>
      </c>
      <c r="AA217" s="20">
        <f t="shared" si="20"/>
        <v>-0.40926610619643256</v>
      </c>
      <c r="AB217" s="20">
        <f t="shared" si="21"/>
        <v>0.25210021730435783</v>
      </c>
      <c r="AC217" s="20">
        <f t="shared" si="22"/>
        <v>0.10887173714123763</v>
      </c>
      <c r="AD217" s="20"/>
    </row>
    <row r="218" spans="1:30" x14ac:dyDescent="0.45">
      <c r="A218" s="8" t="s">
        <v>255</v>
      </c>
      <c r="B218" s="8" t="s">
        <v>753</v>
      </c>
      <c r="C218" s="8">
        <v>50.7</v>
      </c>
      <c r="D218" s="8" t="s">
        <v>1009</v>
      </c>
      <c r="E218" s="8" t="s">
        <v>1012</v>
      </c>
      <c r="F218" s="8" t="s">
        <v>1019</v>
      </c>
      <c r="G218" s="8" t="s">
        <v>1021</v>
      </c>
      <c r="H218" s="8">
        <v>74415.39</v>
      </c>
      <c r="I218" s="8">
        <v>634</v>
      </c>
      <c r="J218" s="8">
        <v>1</v>
      </c>
      <c r="K218" s="8">
        <v>1</v>
      </c>
      <c r="L218" s="8">
        <v>1082.51</v>
      </c>
      <c r="M218" s="8">
        <v>39561.519999999997</v>
      </c>
      <c r="N218" s="8">
        <v>55428</v>
      </c>
      <c r="O218" s="8" t="str">
        <f t="shared" si="23"/>
        <v>Not Fraud</v>
      </c>
      <c r="P218" s="8">
        <v>0</v>
      </c>
      <c r="Q218" s="8" t="s">
        <v>1024</v>
      </c>
      <c r="R218" s="8" t="s">
        <v>1026</v>
      </c>
      <c r="S218" s="8">
        <v>4051</v>
      </c>
      <c r="T218" s="8">
        <v>287</v>
      </c>
      <c r="U218" s="8">
        <v>6617.86</v>
      </c>
      <c r="V218" s="8">
        <v>5.0999999999999996</v>
      </c>
      <c r="W218" s="8">
        <v>7.2</v>
      </c>
      <c r="X218" s="8">
        <v>0</v>
      </c>
      <c r="Y218" s="20" t="str">
        <f t="shared" si="18"/>
        <v>Normal</v>
      </c>
      <c r="Z218" s="20">
        <f t="shared" si="19"/>
        <v>-0.43991947994585712</v>
      </c>
      <c r="AA218" s="20">
        <f t="shared" si="20"/>
        <v>0.98174261061171741</v>
      </c>
      <c r="AB218" s="20">
        <f t="shared" si="21"/>
        <v>-0.248306791280932</v>
      </c>
      <c r="AC218" s="20">
        <f t="shared" si="22"/>
        <v>-0.67546243877869061</v>
      </c>
      <c r="AD218" s="20"/>
    </row>
    <row r="219" spans="1:30" x14ac:dyDescent="0.45">
      <c r="A219" s="8" t="s">
        <v>148</v>
      </c>
      <c r="B219" s="8" t="s">
        <v>646</v>
      </c>
      <c r="C219" s="8">
        <v>82.9</v>
      </c>
      <c r="D219" s="8" t="s">
        <v>1010</v>
      </c>
      <c r="E219" s="8" t="s">
        <v>1012</v>
      </c>
      <c r="F219" s="8" t="s">
        <v>1016</v>
      </c>
      <c r="G219" s="8" t="s">
        <v>1022</v>
      </c>
      <c r="H219" s="8">
        <v>88914.53</v>
      </c>
      <c r="I219" s="8">
        <v>612</v>
      </c>
      <c r="J219" s="8">
        <v>0</v>
      </c>
      <c r="K219" s="8">
        <v>0</v>
      </c>
      <c r="L219" s="8">
        <v>1085.75</v>
      </c>
      <c r="M219" s="8">
        <v>20534.37</v>
      </c>
      <c r="N219" s="8">
        <v>78751.399999999994</v>
      </c>
      <c r="O219" s="8" t="str">
        <f t="shared" si="23"/>
        <v>Fraud</v>
      </c>
      <c r="P219" s="8">
        <v>1</v>
      </c>
      <c r="Q219" s="8" t="s">
        <v>1027</v>
      </c>
      <c r="R219" s="8" t="s">
        <v>1030</v>
      </c>
      <c r="S219" s="8">
        <v>2495</v>
      </c>
      <c r="T219" s="8">
        <v>147</v>
      </c>
      <c r="U219" s="8">
        <v>4463.33</v>
      </c>
      <c r="V219" s="8">
        <v>3.2</v>
      </c>
      <c r="W219" s="8">
        <v>6.4</v>
      </c>
      <c r="X219" s="8">
        <v>617.20000000000005</v>
      </c>
      <c r="Y219" s="20" t="str">
        <f t="shared" si="18"/>
        <v>Normal</v>
      </c>
      <c r="Z219" s="20">
        <f t="shared" si="19"/>
        <v>-0.43837334149772123</v>
      </c>
      <c r="AA219" s="20">
        <f t="shared" si="20"/>
        <v>3.2184401684828605E-2</v>
      </c>
      <c r="AB219" s="20">
        <f t="shared" si="21"/>
        <v>0.96154569063669493</v>
      </c>
      <c r="AC219" s="20">
        <f t="shared" si="22"/>
        <v>-6.691198269658627E-2</v>
      </c>
      <c r="AD219" s="20"/>
    </row>
    <row r="220" spans="1:30" x14ac:dyDescent="0.45">
      <c r="A220" s="8" t="s">
        <v>325</v>
      </c>
      <c r="B220" s="8" t="s">
        <v>821</v>
      </c>
      <c r="C220" s="8">
        <v>61.2</v>
      </c>
      <c r="D220" s="8" t="s">
        <v>1010</v>
      </c>
      <c r="E220" s="8" t="s">
        <v>1014</v>
      </c>
      <c r="F220" s="8" t="s">
        <v>1019</v>
      </c>
      <c r="G220" s="8" t="s">
        <v>1020</v>
      </c>
      <c r="H220" s="8">
        <v>68559.87</v>
      </c>
      <c r="I220" s="8">
        <v>554</v>
      </c>
      <c r="J220" s="8">
        <v>0</v>
      </c>
      <c r="K220" s="8">
        <v>0</v>
      </c>
      <c r="L220" s="8">
        <v>1085.78</v>
      </c>
      <c r="M220" s="8">
        <v>17116.169999999998</v>
      </c>
      <c r="N220" s="8">
        <v>31520.86</v>
      </c>
      <c r="O220" s="8" t="str">
        <f t="shared" si="23"/>
        <v>Not Fraud</v>
      </c>
      <c r="P220" s="8">
        <v>0</v>
      </c>
      <c r="Q220" s="8" t="s">
        <v>1026</v>
      </c>
      <c r="R220" s="8" t="s">
        <v>1026</v>
      </c>
      <c r="S220" s="8">
        <v>431</v>
      </c>
      <c r="T220" s="8">
        <v>171</v>
      </c>
      <c r="U220" s="8">
        <v>6289.15</v>
      </c>
      <c r="V220" s="8">
        <v>0.6</v>
      </c>
      <c r="W220" s="8">
        <v>10.6</v>
      </c>
      <c r="X220" s="8">
        <v>0</v>
      </c>
      <c r="Y220" s="20" t="str">
        <f t="shared" si="18"/>
        <v>Normal</v>
      </c>
      <c r="Z220" s="20">
        <f t="shared" si="19"/>
        <v>-0.43835902540097926</v>
      </c>
      <c r="AA220" s="20">
        <f t="shared" si="20"/>
        <v>-0.13840235827417169</v>
      </c>
      <c r="AB220" s="20">
        <f t="shared" si="21"/>
        <v>-1.4884395619984168</v>
      </c>
      <c r="AC220" s="20">
        <f t="shared" si="22"/>
        <v>-0.92122731632300603</v>
      </c>
      <c r="AD220" s="20"/>
    </row>
    <row r="221" spans="1:30" x14ac:dyDescent="0.45">
      <c r="A221" s="8" t="s">
        <v>98</v>
      </c>
      <c r="B221" s="8" t="s">
        <v>598</v>
      </c>
      <c r="C221" s="8">
        <v>62.3</v>
      </c>
      <c r="D221" s="8" t="s">
        <v>1009</v>
      </c>
      <c r="E221" s="8" t="s">
        <v>1012</v>
      </c>
      <c r="F221" s="8" t="s">
        <v>1016</v>
      </c>
      <c r="G221" s="8" t="s">
        <v>1021</v>
      </c>
      <c r="H221" s="8">
        <v>101544.81</v>
      </c>
      <c r="I221" s="8">
        <v>561</v>
      </c>
      <c r="J221" s="8">
        <v>0</v>
      </c>
      <c r="K221" s="8">
        <v>1</v>
      </c>
      <c r="L221" s="8">
        <v>1098.74</v>
      </c>
      <c r="M221" s="8">
        <v>14821.61</v>
      </c>
      <c r="N221" s="8">
        <v>64464.78</v>
      </c>
      <c r="O221" s="8" t="str">
        <f t="shared" si="23"/>
        <v>Fraud</v>
      </c>
      <c r="P221" s="8">
        <v>1</v>
      </c>
      <c r="Q221" s="8" t="s">
        <v>1024</v>
      </c>
      <c r="R221" s="8" t="s">
        <v>1029</v>
      </c>
      <c r="S221" s="8">
        <v>4270</v>
      </c>
      <c r="T221" s="8">
        <v>62</v>
      </c>
      <c r="U221" s="8">
        <v>1008.85</v>
      </c>
      <c r="V221" s="8">
        <v>4.5999999999999996</v>
      </c>
      <c r="W221" s="8">
        <v>4.3</v>
      </c>
      <c r="X221" s="8">
        <v>1062.1400000000001</v>
      </c>
      <c r="Y221" s="20" t="str">
        <f t="shared" si="18"/>
        <v>Normal</v>
      </c>
      <c r="Z221" s="20">
        <f t="shared" si="19"/>
        <v>-0.43217447160843564</v>
      </c>
      <c r="AA221" s="20">
        <f t="shared" si="20"/>
        <v>-0.25291337457851998</v>
      </c>
      <c r="AB221" s="20">
        <f t="shared" si="21"/>
        <v>0.22045722732457038</v>
      </c>
      <c r="AC221" s="20">
        <f t="shared" si="22"/>
        <v>0.46319964147179066</v>
      </c>
      <c r="AD221" s="20"/>
    </row>
    <row r="222" spans="1:30" x14ac:dyDescent="0.45">
      <c r="A222" s="8" t="s">
        <v>277</v>
      </c>
      <c r="B222" s="8" t="s">
        <v>774</v>
      </c>
      <c r="C222" s="8">
        <v>27.2</v>
      </c>
      <c r="D222" s="8" t="s">
        <v>1009</v>
      </c>
      <c r="E222" s="8" t="s">
        <v>1012</v>
      </c>
      <c r="F222" s="8" t="s">
        <v>1017</v>
      </c>
      <c r="G222" s="8" t="s">
        <v>1023</v>
      </c>
      <c r="H222" s="8">
        <v>49730</v>
      </c>
      <c r="I222" s="8">
        <v>688</v>
      </c>
      <c r="J222" s="8">
        <v>0</v>
      </c>
      <c r="K222" s="8">
        <v>1</v>
      </c>
      <c r="L222" s="8">
        <v>1115.6300000000001</v>
      </c>
      <c r="M222" s="8">
        <v>4815.83</v>
      </c>
      <c r="N222" s="8">
        <v>35217.86</v>
      </c>
      <c r="O222" s="8" t="str">
        <f t="shared" si="23"/>
        <v>Fraud</v>
      </c>
      <c r="P222" s="8">
        <v>1</v>
      </c>
      <c r="Q222" s="8" t="s">
        <v>1025</v>
      </c>
      <c r="R222" s="8" t="s">
        <v>1026</v>
      </c>
      <c r="S222" s="8">
        <v>39</v>
      </c>
      <c r="T222" s="8">
        <v>57</v>
      </c>
      <c r="U222" s="8">
        <v>4165.74</v>
      </c>
      <c r="V222" s="8">
        <v>2.9</v>
      </c>
      <c r="W222" s="8">
        <v>7.5</v>
      </c>
      <c r="X222" s="8">
        <v>1054.8599999999999</v>
      </c>
      <c r="Y222" s="20" t="str">
        <f t="shared" si="18"/>
        <v>Normal</v>
      </c>
      <c r="Z222" s="20">
        <f t="shared" si="19"/>
        <v>-0.42411450914269011</v>
      </c>
      <c r="AA222" s="20">
        <f t="shared" si="20"/>
        <v>-0.75225618397017802</v>
      </c>
      <c r="AB222" s="20">
        <f t="shared" si="21"/>
        <v>-1.2966654370573931</v>
      </c>
      <c r="AC222" s="20">
        <f t="shared" si="22"/>
        <v>-1.7115449473319302</v>
      </c>
      <c r="AD222" s="20"/>
    </row>
    <row r="223" spans="1:30" x14ac:dyDescent="0.45">
      <c r="A223" s="8" t="s">
        <v>68</v>
      </c>
      <c r="B223" s="8" t="s">
        <v>568</v>
      </c>
      <c r="C223" s="8">
        <v>39.200000000000003</v>
      </c>
      <c r="D223" s="8" t="s">
        <v>1010</v>
      </c>
      <c r="E223" s="8" t="s">
        <v>1014</v>
      </c>
      <c r="F223" s="8" t="s">
        <v>1016</v>
      </c>
      <c r="G223" s="8" t="s">
        <v>1020</v>
      </c>
      <c r="H223" s="8">
        <v>124155.79</v>
      </c>
      <c r="I223" s="8">
        <v>729</v>
      </c>
      <c r="J223" s="8">
        <v>0</v>
      </c>
      <c r="K223" s="8">
        <v>0</v>
      </c>
      <c r="L223" s="8">
        <v>1131.5</v>
      </c>
      <c r="M223" s="8">
        <v>20654.05</v>
      </c>
      <c r="N223" s="8">
        <v>99166.95</v>
      </c>
      <c r="O223" s="8" t="str">
        <f t="shared" si="23"/>
        <v>Not Fraud</v>
      </c>
      <c r="P223" s="8">
        <v>0</v>
      </c>
      <c r="Q223" s="8" t="s">
        <v>1024</v>
      </c>
      <c r="R223" s="8" t="s">
        <v>1030</v>
      </c>
      <c r="S223" s="8">
        <v>379</v>
      </c>
      <c r="T223" s="8">
        <v>124</v>
      </c>
      <c r="U223" s="8">
        <v>1754.36</v>
      </c>
      <c r="V223" s="8">
        <v>4.2</v>
      </c>
      <c r="W223" s="8">
        <v>5</v>
      </c>
      <c r="X223" s="8">
        <v>0</v>
      </c>
      <c r="Y223" s="20" t="str">
        <f t="shared" si="18"/>
        <v>Normal</v>
      </c>
      <c r="Z223" s="20">
        <f t="shared" si="19"/>
        <v>-0.41654129396617262</v>
      </c>
      <c r="AA223" s="20">
        <f t="shared" si="20"/>
        <v>3.8157084217124312E-2</v>
      </c>
      <c r="AB223" s="20">
        <f t="shared" si="21"/>
        <v>2.020559549560069</v>
      </c>
      <c r="AC223" s="20">
        <f t="shared" si="22"/>
        <v>1.4122160790993561</v>
      </c>
      <c r="AD223" s="20"/>
    </row>
    <row r="224" spans="1:30" x14ac:dyDescent="0.45">
      <c r="A224" s="8" t="s">
        <v>522</v>
      </c>
      <c r="B224" s="8" t="s">
        <v>1008</v>
      </c>
      <c r="C224" s="8">
        <v>29.3</v>
      </c>
      <c r="D224" s="8" t="s">
        <v>1009</v>
      </c>
      <c r="E224" s="8" t="s">
        <v>1014</v>
      </c>
      <c r="F224" s="8" t="s">
        <v>1019</v>
      </c>
      <c r="G224" s="8" t="s">
        <v>1023</v>
      </c>
      <c r="H224" s="8">
        <v>95892.25</v>
      </c>
      <c r="I224" s="8">
        <v>732</v>
      </c>
      <c r="J224" s="8">
        <v>0</v>
      </c>
      <c r="K224" s="8">
        <v>1</v>
      </c>
      <c r="L224" s="8">
        <v>1131.68</v>
      </c>
      <c r="M224" s="8">
        <v>47140.61</v>
      </c>
      <c r="N224" s="8">
        <v>59026.95</v>
      </c>
      <c r="O224" s="8" t="str">
        <f t="shared" si="23"/>
        <v>Fraud</v>
      </c>
      <c r="P224" s="8">
        <v>1</v>
      </c>
      <c r="Q224" s="8" t="s">
        <v>1027</v>
      </c>
      <c r="R224" s="8" t="s">
        <v>1029</v>
      </c>
      <c r="S224" s="8">
        <v>300</v>
      </c>
      <c r="T224" s="8">
        <v>50</v>
      </c>
      <c r="U224" s="8">
        <v>3388.02</v>
      </c>
      <c r="V224" s="8">
        <v>3.1</v>
      </c>
      <c r="W224" s="8">
        <v>5.2</v>
      </c>
      <c r="X224" s="8">
        <v>778.81</v>
      </c>
      <c r="Y224" s="20" t="str">
        <f t="shared" si="18"/>
        <v>Normal</v>
      </c>
      <c r="Z224" s="20">
        <f t="shared" si="19"/>
        <v>-0.41645539738572063</v>
      </c>
      <c r="AA224" s="20">
        <f t="shared" si="20"/>
        <v>1.3599803984935441</v>
      </c>
      <c r="AB224" s="20">
        <f t="shared" si="21"/>
        <v>-6.1618804546689082E-2</v>
      </c>
      <c r="AC224" s="20">
        <f t="shared" si="22"/>
        <v>0.22595329678986756</v>
      </c>
      <c r="AD224" s="20"/>
    </row>
    <row r="225" spans="1:30" x14ac:dyDescent="0.45">
      <c r="A225" s="8" t="s">
        <v>100</v>
      </c>
      <c r="B225" s="8" t="s">
        <v>600</v>
      </c>
      <c r="C225" s="8">
        <v>45.5</v>
      </c>
      <c r="D225" s="8" t="s">
        <v>1009</v>
      </c>
      <c r="E225" s="8" t="s">
        <v>1014</v>
      </c>
      <c r="F225" s="8" t="s">
        <v>1018</v>
      </c>
      <c r="G225" s="8" t="s">
        <v>1021</v>
      </c>
      <c r="H225" s="8">
        <v>106851.32</v>
      </c>
      <c r="I225" s="8">
        <v>601</v>
      </c>
      <c r="J225" s="8">
        <v>1</v>
      </c>
      <c r="K225" s="8">
        <v>1</v>
      </c>
      <c r="L225" s="8">
        <v>1169.28</v>
      </c>
      <c r="M225" s="8">
        <v>21963.57</v>
      </c>
      <c r="N225" s="8">
        <v>65711.08</v>
      </c>
      <c r="O225" s="8" t="str">
        <f t="shared" si="23"/>
        <v>Not Fraud</v>
      </c>
      <c r="P225" s="8">
        <v>0</v>
      </c>
      <c r="Q225" s="8" t="s">
        <v>1024</v>
      </c>
      <c r="R225" s="8" t="s">
        <v>1026</v>
      </c>
      <c r="S225" s="8">
        <v>2586</v>
      </c>
      <c r="T225" s="8">
        <v>56</v>
      </c>
      <c r="U225" s="8">
        <v>5608.39</v>
      </c>
      <c r="V225" s="8">
        <v>2.1</v>
      </c>
      <c r="W225" s="8">
        <v>1</v>
      </c>
      <c r="X225" s="8">
        <v>0</v>
      </c>
      <c r="Y225" s="20" t="str">
        <f t="shared" si="18"/>
        <v>Normal</v>
      </c>
      <c r="Z225" s="20">
        <f t="shared" si="19"/>
        <v>-0.39851255613574849</v>
      </c>
      <c r="AA225" s="20">
        <f t="shared" si="20"/>
        <v>0.10350925024061916</v>
      </c>
      <c r="AB225" s="20">
        <f t="shared" si="21"/>
        <v>0.28510642719311197</v>
      </c>
      <c r="AC225" s="20">
        <f t="shared" si="22"/>
        <v>0.6859217533145795</v>
      </c>
      <c r="AD225" s="20"/>
    </row>
    <row r="226" spans="1:30" x14ac:dyDescent="0.45">
      <c r="A226" s="8" t="s">
        <v>56</v>
      </c>
      <c r="B226" s="8" t="s">
        <v>556</v>
      </c>
      <c r="C226" s="8">
        <v>34.1</v>
      </c>
      <c r="D226" s="8" t="s">
        <v>1010</v>
      </c>
      <c r="E226" s="8" t="s">
        <v>1014</v>
      </c>
      <c r="F226" s="8" t="s">
        <v>1016</v>
      </c>
      <c r="G226" s="8" t="s">
        <v>1022</v>
      </c>
      <c r="H226" s="8">
        <v>82691.89</v>
      </c>
      <c r="I226" s="8">
        <v>703</v>
      </c>
      <c r="J226" s="8">
        <v>0</v>
      </c>
      <c r="K226" s="8">
        <v>0</v>
      </c>
      <c r="L226" s="8">
        <v>1180.77</v>
      </c>
      <c r="M226" s="8">
        <v>54957.84</v>
      </c>
      <c r="N226" s="8">
        <v>47583.05</v>
      </c>
      <c r="O226" s="8" t="str">
        <f t="shared" si="23"/>
        <v>Fraud</v>
      </c>
      <c r="P226" s="8">
        <v>1</v>
      </c>
      <c r="Q226" s="8" t="s">
        <v>1026</v>
      </c>
      <c r="R226" s="8" t="s">
        <v>1030</v>
      </c>
      <c r="S226" s="8">
        <v>3233</v>
      </c>
      <c r="T226" s="8">
        <v>90</v>
      </c>
      <c r="U226" s="8">
        <v>1572.7</v>
      </c>
      <c r="V226" s="8">
        <v>9.3000000000000007</v>
      </c>
      <c r="W226" s="8">
        <v>2.4</v>
      </c>
      <c r="X226" s="8">
        <v>1096.6300000000001</v>
      </c>
      <c r="Y226" s="20" t="str">
        <f t="shared" si="18"/>
        <v>Normal</v>
      </c>
      <c r="Z226" s="20">
        <f t="shared" si="19"/>
        <v>-0.39302949108356283</v>
      </c>
      <c r="AA226" s="20">
        <f t="shared" si="20"/>
        <v>1.7501026668085329</v>
      </c>
      <c r="AB226" s="20">
        <f t="shared" si="21"/>
        <v>-0.65524712708187383</v>
      </c>
      <c r="AC226" s="20">
        <f t="shared" si="22"/>
        <v>-0.32808543229668291</v>
      </c>
      <c r="AD226" s="20"/>
    </row>
    <row r="227" spans="1:30" x14ac:dyDescent="0.45">
      <c r="A227" s="8" t="s">
        <v>141</v>
      </c>
      <c r="B227" s="8" t="s">
        <v>639</v>
      </c>
      <c r="C227" s="8">
        <v>67.099999999999994</v>
      </c>
      <c r="D227" s="8" t="s">
        <v>1010</v>
      </c>
      <c r="E227" s="8" t="s">
        <v>1012</v>
      </c>
      <c r="F227" s="8" t="s">
        <v>1016</v>
      </c>
      <c r="G227" s="8" t="s">
        <v>1023</v>
      </c>
      <c r="H227" s="8">
        <v>69181.98</v>
      </c>
      <c r="I227" s="8">
        <v>617</v>
      </c>
      <c r="J227" s="8">
        <v>1</v>
      </c>
      <c r="K227" s="8">
        <v>1</v>
      </c>
      <c r="L227" s="8">
        <v>1184.3399999999999</v>
      </c>
      <c r="M227" s="8">
        <v>59511.01</v>
      </c>
      <c r="N227" s="8">
        <v>44151.6</v>
      </c>
      <c r="O227" s="8" t="str">
        <f t="shared" si="23"/>
        <v>Fraud</v>
      </c>
      <c r="P227" s="8">
        <v>1</v>
      </c>
      <c r="Q227" s="8" t="s">
        <v>1027</v>
      </c>
      <c r="R227" s="8" t="s">
        <v>1026</v>
      </c>
      <c r="S227" s="8">
        <v>2347</v>
      </c>
      <c r="T227" s="8">
        <v>89</v>
      </c>
      <c r="U227" s="8">
        <v>9897.4699999999993</v>
      </c>
      <c r="V227" s="8">
        <v>3.7</v>
      </c>
      <c r="W227" s="8">
        <v>6.1</v>
      </c>
      <c r="X227" s="8">
        <v>607.24</v>
      </c>
      <c r="Y227" s="20" t="str">
        <f t="shared" si="18"/>
        <v>Normal</v>
      </c>
      <c r="Z227" s="20">
        <f t="shared" si="19"/>
        <v>-0.39132587557126497</v>
      </c>
      <c r="AA227" s="20">
        <f t="shared" si="20"/>
        <v>1.9773305990075039</v>
      </c>
      <c r="AB227" s="20">
        <f t="shared" si="21"/>
        <v>-0.83324640244808312</v>
      </c>
      <c r="AC227" s="20">
        <f t="shared" si="22"/>
        <v>-0.89511643497188886</v>
      </c>
      <c r="AD227" s="20"/>
    </row>
    <row r="228" spans="1:30" x14ac:dyDescent="0.45">
      <c r="A228" s="8" t="s">
        <v>315</v>
      </c>
      <c r="B228" s="8" t="s">
        <v>811</v>
      </c>
      <c r="C228" s="8">
        <v>41.2</v>
      </c>
      <c r="D228" s="8" t="s">
        <v>1009</v>
      </c>
      <c r="E228" s="8" t="s">
        <v>1014</v>
      </c>
      <c r="F228" s="8" t="s">
        <v>1019</v>
      </c>
      <c r="G228" s="8" t="s">
        <v>1021</v>
      </c>
      <c r="H228" s="8">
        <v>63091.53</v>
      </c>
      <c r="I228" s="8">
        <v>533</v>
      </c>
      <c r="J228" s="8">
        <v>0</v>
      </c>
      <c r="K228" s="8">
        <v>0</v>
      </c>
      <c r="L228" s="8">
        <v>1185.8900000000001</v>
      </c>
      <c r="M228" s="8">
        <v>54527.51</v>
      </c>
      <c r="N228" s="8">
        <v>27846.78</v>
      </c>
      <c r="O228" s="8" t="str">
        <f t="shared" si="23"/>
        <v>Fraud</v>
      </c>
      <c r="P228" s="8">
        <v>1</v>
      </c>
      <c r="Q228" s="8" t="s">
        <v>1026</v>
      </c>
      <c r="R228" s="8" t="s">
        <v>1030</v>
      </c>
      <c r="S228" s="8">
        <v>4542</v>
      </c>
      <c r="T228" s="8">
        <v>100</v>
      </c>
      <c r="U228" s="8">
        <v>4733.53</v>
      </c>
      <c r="V228" s="8">
        <v>7.2</v>
      </c>
      <c r="W228" s="8">
        <v>5</v>
      </c>
      <c r="X228" s="8">
        <v>734.24</v>
      </c>
      <c r="Y228" s="20" t="str">
        <f t="shared" si="18"/>
        <v>Normal</v>
      </c>
      <c r="Z228" s="20">
        <f t="shared" si="19"/>
        <v>-0.39058621057292825</v>
      </c>
      <c r="AA228" s="20">
        <f t="shared" si="20"/>
        <v>1.7286268607079081</v>
      </c>
      <c r="AB228" s="20">
        <f t="shared" si="21"/>
        <v>-1.6790247599868711</v>
      </c>
      <c r="AC228" s="20">
        <f t="shared" si="22"/>
        <v>-1.150741673796071</v>
      </c>
      <c r="AD228" s="20"/>
    </row>
    <row r="229" spans="1:30" x14ac:dyDescent="0.45">
      <c r="A229" s="8" t="s">
        <v>113</v>
      </c>
      <c r="B229" s="8" t="s">
        <v>613</v>
      </c>
      <c r="C229" s="8">
        <v>51.5</v>
      </c>
      <c r="D229" s="8" t="s">
        <v>1009</v>
      </c>
      <c r="E229" s="8" t="s">
        <v>1011</v>
      </c>
      <c r="F229" s="8" t="s">
        <v>1016</v>
      </c>
      <c r="G229" s="8" t="s">
        <v>1022</v>
      </c>
      <c r="H229" s="8">
        <v>94183.1</v>
      </c>
      <c r="I229" s="8">
        <v>723</v>
      </c>
      <c r="J229" s="8">
        <v>0</v>
      </c>
      <c r="K229" s="8">
        <v>1</v>
      </c>
      <c r="L229" s="8">
        <v>1188.72</v>
      </c>
      <c r="M229" s="8">
        <v>3140.72</v>
      </c>
      <c r="N229" s="8">
        <v>59625.82</v>
      </c>
      <c r="O229" s="8" t="str">
        <f t="shared" si="23"/>
        <v>Fraud</v>
      </c>
      <c r="P229" s="8">
        <v>1</v>
      </c>
      <c r="Q229" s="8" t="s">
        <v>1027</v>
      </c>
      <c r="R229" s="8" t="s">
        <v>1026</v>
      </c>
      <c r="S229" s="8">
        <v>1759</v>
      </c>
      <c r="T229" s="8">
        <v>56</v>
      </c>
      <c r="U229" s="8">
        <v>1454.35</v>
      </c>
      <c r="V229" s="8">
        <v>2.2000000000000002</v>
      </c>
      <c r="W229" s="8">
        <v>8.6999999999999993</v>
      </c>
      <c r="X229" s="8">
        <v>953.42</v>
      </c>
      <c r="Y229" s="20" t="str">
        <f t="shared" si="18"/>
        <v>Normal</v>
      </c>
      <c r="Z229" s="20">
        <f t="shared" si="19"/>
        <v>-0.38923572544693302</v>
      </c>
      <c r="AA229" s="20">
        <f t="shared" si="20"/>
        <v>-0.83585327819372279</v>
      </c>
      <c r="AB229" s="20">
        <f t="shared" si="21"/>
        <v>-3.0553678714005487E-2</v>
      </c>
      <c r="AC229" s="20">
        <f t="shared" si="22"/>
        <v>0.15421773095543012</v>
      </c>
      <c r="AD229" s="20"/>
    </row>
    <row r="230" spans="1:30" x14ac:dyDescent="0.45">
      <c r="A230" s="8" t="s">
        <v>124</v>
      </c>
      <c r="B230" s="8" t="s">
        <v>623</v>
      </c>
      <c r="C230" s="8">
        <v>43.7</v>
      </c>
      <c r="D230" s="8" t="s">
        <v>1009</v>
      </c>
      <c r="E230" s="8" t="s">
        <v>1014</v>
      </c>
      <c r="F230" s="8" t="s">
        <v>1016</v>
      </c>
      <c r="G230" s="8" t="s">
        <v>1021</v>
      </c>
      <c r="H230" s="8">
        <v>113155.53</v>
      </c>
      <c r="I230" s="8">
        <v>573</v>
      </c>
      <c r="J230" s="8">
        <v>1</v>
      </c>
      <c r="K230" s="8">
        <v>1</v>
      </c>
      <c r="L230" s="8">
        <v>1199.79</v>
      </c>
      <c r="M230" s="8">
        <v>901.33</v>
      </c>
      <c r="N230" s="8">
        <v>70261.710000000006</v>
      </c>
      <c r="O230" s="8" t="str">
        <f t="shared" si="23"/>
        <v>Fraud</v>
      </c>
      <c r="P230" s="8">
        <v>1</v>
      </c>
      <c r="Q230" s="8" t="s">
        <v>1024</v>
      </c>
      <c r="R230" s="8" t="s">
        <v>1030</v>
      </c>
      <c r="S230" s="8">
        <v>4952</v>
      </c>
      <c r="T230" s="8">
        <v>60</v>
      </c>
      <c r="U230" s="8">
        <v>4221.33</v>
      </c>
      <c r="V230" s="8">
        <v>7</v>
      </c>
      <c r="W230" s="8">
        <v>5.8</v>
      </c>
      <c r="X230" s="8">
        <v>902.62</v>
      </c>
      <c r="Y230" s="20" t="str">
        <f t="shared" si="18"/>
        <v>Normal</v>
      </c>
      <c r="Z230" s="20">
        <f t="shared" si="19"/>
        <v>-0.38395308574913539</v>
      </c>
      <c r="AA230" s="20">
        <f t="shared" si="20"/>
        <v>-0.94761101161616312</v>
      </c>
      <c r="AB230" s="20">
        <f t="shared" si="21"/>
        <v>0.52116081891082111</v>
      </c>
      <c r="AC230" s="20">
        <f t="shared" si="22"/>
        <v>0.95051881705335006</v>
      </c>
      <c r="AD230" s="20"/>
    </row>
    <row r="231" spans="1:30" x14ac:dyDescent="0.45">
      <c r="A231" s="8" t="s">
        <v>249</v>
      </c>
      <c r="B231" s="8" t="s">
        <v>747</v>
      </c>
      <c r="C231" s="8">
        <v>51</v>
      </c>
      <c r="D231" s="8" t="s">
        <v>1009</v>
      </c>
      <c r="E231" s="8" t="s">
        <v>1013</v>
      </c>
      <c r="F231" s="8" t="s">
        <v>1019</v>
      </c>
      <c r="G231" s="8" t="s">
        <v>1021</v>
      </c>
      <c r="H231" s="8">
        <v>88890.55</v>
      </c>
      <c r="I231" s="8">
        <v>557</v>
      </c>
      <c r="J231" s="8">
        <v>0</v>
      </c>
      <c r="K231" s="8">
        <v>0</v>
      </c>
      <c r="L231" s="8">
        <v>1213.78</v>
      </c>
      <c r="M231" s="8">
        <v>15993.8</v>
      </c>
      <c r="N231" s="8">
        <v>49117.72</v>
      </c>
      <c r="O231" s="8" t="str">
        <f t="shared" si="23"/>
        <v>Fraud</v>
      </c>
      <c r="P231" s="8">
        <v>1</v>
      </c>
      <c r="Q231" s="8" t="s">
        <v>1027</v>
      </c>
      <c r="R231" s="8" t="s">
        <v>1029</v>
      </c>
      <c r="S231" s="8">
        <v>2326</v>
      </c>
      <c r="T231" s="8">
        <v>203</v>
      </c>
      <c r="U231" s="8">
        <v>2508.3200000000002</v>
      </c>
      <c r="V231" s="8">
        <v>4.0999999999999996</v>
      </c>
      <c r="W231" s="8">
        <v>7.5</v>
      </c>
      <c r="X231" s="8">
        <v>763.26</v>
      </c>
      <c r="Y231" s="20" t="str">
        <f t="shared" si="18"/>
        <v>Normal</v>
      </c>
      <c r="Z231" s="20">
        <f t="shared" si="19"/>
        <v>-0.37727701263511654</v>
      </c>
      <c r="AA231" s="20">
        <f t="shared" si="20"/>
        <v>-0.19441472202561483</v>
      </c>
      <c r="AB231" s="20">
        <f t="shared" si="21"/>
        <v>-0.57563933797631794</v>
      </c>
      <c r="AC231" s="20">
        <f t="shared" si="22"/>
        <v>-6.7918458938407936E-2</v>
      </c>
      <c r="AD231" s="20"/>
    </row>
    <row r="232" spans="1:30" x14ac:dyDescent="0.45">
      <c r="A232" s="8" t="s">
        <v>95</v>
      </c>
      <c r="B232" s="8" t="s">
        <v>595</v>
      </c>
      <c r="C232" s="8">
        <v>49.5</v>
      </c>
      <c r="D232" s="8" t="s">
        <v>1010</v>
      </c>
      <c r="E232" s="8" t="s">
        <v>1011</v>
      </c>
      <c r="F232" s="8" t="s">
        <v>1019</v>
      </c>
      <c r="G232" s="8" t="s">
        <v>1020</v>
      </c>
      <c r="H232" s="8">
        <v>38585.72</v>
      </c>
      <c r="I232" s="8">
        <v>725</v>
      </c>
      <c r="J232" s="8">
        <v>1</v>
      </c>
      <c r="K232" s="8">
        <v>1</v>
      </c>
      <c r="L232" s="8">
        <v>1215.3900000000001</v>
      </c>
      <c r="M232" s="8">
        <v>1228.72</v>
      </c>
      <c r="N232" s="8">
        <v>17286.52</v>
      </c>
      <c r="O232" s="8" t="str">
        <f t="shared" si="23"/>
        <v>Not Fraud</v>
      </c>
      <c r="P232" s="8">
        <v>0</v>
      </c>
      <c r="Q232" s="8" t="s">
        <v>1025</v>
      </c>
      <c r="R232" s="8" t="s">
        <v>1030</v>
      </c>
      <c r="S232" s="8">
        <v>2785</v>
      </c>
      <c r="T232" s="8">
        <v>235</v>
      </c>
      <c r="U232" s="8">
        <v>8976.65</v>
      </c>
      <c r="V232" s="8">
        <v>3.1</v>
      </c>
      <c r="W232" s="8">
        <v>4</v>
      </c>
      <c r="X232" s="8">
        <v>0</v>
      </c>
      <c r="Y232" s="20" t="str">
        <f t="shared" si="18"/>
        <v>Normal</v>
      </c>
      <c r="Z232" s="20">
        <f t="shared" si="19"/>
        <v>-0.37650871544329584</v>
      </c>
      <c r="AA232" s="20">
        <f t="shared" si="20"/>
        <v>-0.93127247105593347</v>
      </c>
      <c r="AB232" s="20">
        <f t="shared" si="21"/>
        <v>-2.2268161099056414</v>
      </c>
      <c r="AC232" s="20">
        <f t="shared" si="22"/>
        <v>-2.1792869428369515</v>
      </c>
      <c r="AD232" s="20"/>
    </row>
    <row r="233" spans="1:30" x14ac:dyDescent="0.45">
      <c r="A233" s="8" t="s">
        <v>320</v>
      </c>
      <c r="B233" s="8" t="s">
        <v>816</v>
      </c>
      <c r="C233" s="8">
        <v>54.6</v>
      </c>
      <c r="D233" s="8" t="s">
        <v>1010</v>
      </c>
      <c r="E233" s="8" t="s">
        <v>1011</v>
      </c>
      <c r="F233" s="8" t="s">
        <v>1017</v>
      </c>
      <c r="G233" s="8" t="s">
        <v>1022</v>
      </c>
      <c r="H233" s="8">
        <v>78320.41</v>
      </c>
      <c r="I233" s="8">
        <v>692</v>
      </c>
      <c r="J233" s="8">
        <v>0</v>
      </c>
      <c r="K233" s="8">
        <v>0</v>
      </c>
      <c r="L233" s="8">
        <v>1224.1099999999999</v>
      </c>
      <c r="M233" s="8">
        <v>67416.649999999994</v>
      </c>
      <c r="N233" s="8">
        <v>52851.09</v>
      </c>
      <c r="O233" s="8" t="str">
        <f t="shared" si="23"/>
        <v>Not Fraud</v>
      </c>
      <c r="P233" s="8">
        <v>0</v>
      </c>
      <c r="Q233" s="8" t="s">
        <v>1027</v>
      </c>
      <c r="R233" s="8" t="s">
        <v>1029</v>
      </c>
      <c r="S233" s="8">
        <v>1409</v>
      </c>
      <c r="T233" s="8">
        <v>176</v>
      </c>
      <c r="U233" s="8">
        <v>385.15</v>
      </c>
      <c r="V233" s="8">
        <v>4.5</v>
      </c>
      <c r="W233" s="8">
        <v>4.0999999999999996</v>
      </c>
      <c r="X233" s="8">
        <v>0</v>
      </c>
      <c r="Y233" s="20" t="str">
        <f t="shared" si="18"/>
        <v>Normal</v>
      </c>
      <c r="Z233" s="20">
        <f t="shared" si="19"/>
        <v>-0.37234750332362154</v>
      </c>
      <c r="AA233" s="20">
        <f t="shared" si="20"/>
        <v>2.3718650068836578</v>
      </c>
      <c r="AB233" s="20">
        <f t="shared" si="21"/>
        <v>-0.38197859552809821</v>
      </c>
      <c r="AC233" s="20">
        <f t="shared" si="22"/>
        <v>-0.5115629452908188</v>
      </c>
      <c r="AD233" s="20"/>
    </row>
    <row r="234" spans="1:30" x14ac:dyDescent="0.45">
      <c r="A234" s="8" t="s">
        <v>227</v>
      </c>
      <c r="B234" s="8" t="s">
        <v>725</v>
      </c>
      <c r="C234" s="8">
        <v>29.3</v>
      </c>
      <c r="D234" s="8" t="s">
        <v>1009</v>
      </c>
      <c r="E234" s="8" t="s">
        <v>1014</v>
      </c>
      <c r="F234" s="8" t="s">
        <v>1019</v>
      </c>
      <c r="G234" s="8" t="s">
        <v>1020</v>
      </c>
      <c r="H234" s="8">
        <v>68934.45</v>
      </c>
      <c r="I234" s="8">
        <v>494</v>
      </c>
      <c r="J234" s="8">
        <v>0</v>
      </c>
      <c r="K234" s="8">
        <v>1</v>
      </c>
      <c r="L234" s="8">
        <v>1230.75</v>
      </c>
      <c r="M234" s="8">
        <v>16758.419999999998</v>
      </c>
      <c r="N234" s="8">
        <v>50935.03</v>
      </c>
      <c r="O234" s="8" t="str">
        <f t="shared" si="23"/>
        <v>Fraud</v>
      </c>
      <c r="P234" s="8">
        <v>1</v>
      </c>
      <c r="Q234" s="8" t="s">
        <v>1025</v>
      </c>
      <c r="R234" s="8" t="s">
        <v>1029</v>
      </c>
      <c r="S234" s="8">
        <v>2140</v>
      </c>
      <c r="T234" s="8">
        <v>166</v>
      </c>
      <c r="U234" s="8">
        <v>4058.1</v>
      </c>
      <c r="V234" s="8">
        <v>0.5</v>
      </c>
      <c r="W234" s="8">
        <v>6.5</v>
      </c>
      <c r="X234" s="8">
        <v>691.26</v>
      </c>
      <c r="Y234" s="20" t="str">
        <f t="shared" si="18"/>
        <v>Normal</v>
      </c>
      <c r="Z234" s="20">
        <f t="shared" si="19"/>
        <v>-0.36917887391139237</v>
      </c>
      <c r="AA234" s="20">
        <f t="shared" si="20"/>
        <v>-0.15625602785913814</v>
      </c>
      <c r="AB234" s="20">
        <f t="shared" si="21"/>
        <v>-0.48137019137188969</v>
      </c>
      <c r="AC234" s="20">
        <f t="shared" si="22"/>
        <v>-0.90550563697931841</v>
      </c>
      <c r="AD234" s="20"/>
    </row>
    <row r="235" spans="1:30" x14ac:dyDescent="0.45">
      <c r="A235" s="8" t="s">
        <v>308</v>
      </c>
      <c r="B235" s="8" t="s">
        <v>804</v>
      </c>
      <c r="C235" s="8">
        <v>20.7</v>
      </c>
      <c r="D235" s="8" t="s">
        <v>1009</v>
      </c>
      <c r="E235" s="8" t="s">
        <v>1014</v>
      </c>
      <c r="F235" s="8" t="s">
        <v>1016</v>
      </c>
      <c r="G235" s="8" t="s">
        <v>1022</v>
      </c>
      <c r="H235" s="8">
        <v>108711.63</v>
      </c>
      <c r="I235" s="8">
        <v>617</v>
      </c>
      <c r="J235" s="8">
        <v>0</v>
      </c>
      <c r="K235" s="8">
        <v>1</v>
      </c>
      <c r="L235" s="8">
        <v>1234.8699999999999</v>
      </c>
      <c r="M235" s="8">
        <v>28379.69</v>
      </c>
      <c r="N235" s="8">
        <v>69327.17</v>
      </c>
      <c r="O235" s="8" t="str">
        <f t="shared" si="23"/>
        <v>Not Fraud</v>
      </c>
      <c r="P235" s="8">
        <v>0</v>
      </c>
      <c r="Q235" s="8" t="s">
        <v>1027</v>
      </c>
      <c r="R235" s="8" t="s">
        <v>1030</v>
      </c>
      <c r="S235" s="8">
        <v>3152</v>
      </c>
      <c r="T235" s="8">
        <v>59</v>
      </c>
      <c r="U235" s="8">
        <v>6695.14</v>
      </c>
      <c r="V235" s="8">
        <v>1.5</v>
      </c>
      <c r="W235" s="8">
        <v>6.5</v>
      </c>
      <c r="X235" s="8">
        <v>0</v>
      </c>
      <c r="Y235" s="20" t="str">
        <f t="shared" si="18"/>
        <v>Normal</v>
      </c>
      <c r="Z235" s="20">
        <f t="shared" si="19"/>
        <v>-0.36721279662549122</v>
      </c>
      <c r="AA235" s="20">
        <f t="shared" si="20"/>
        <v>0.42370851368574836</v>
      </c>
      <c r="AB235" s="20">
        <f t="shared" si="21"/>
        <v>0.47268351549659721</v>
      </c>
      <c r="AC235" s="20">
        <f t="shared" si="22"/>
        <v>0.76400172902031782</v>
      </c>
      <c r="AD235" s="20"/>
    </row>
    <row r="236" spans="1:30" x14ac:dyDescent="0.45">
      <c r="A236" s="8" t="s">
        <v>485</v>
      </c>
      <c r="B236" s="8" t="s">
        <v>974</v>
      </c>
      <c r="C236" s="8">
        <v>39.5</v>
      </c>
      <c r="D236" s="8" t="s">
        <v>1009</v>
      </c>
      <c r="E236" s="8" t="s">
        <v>1014</v>
      </c>
      <c r="F236" s="8" t="s">
        <v>1018</v>
      </c>
      <c r="G236" s="8" t="s">
        <v>1022</v>
      </c>
      <c r="H236" s="8">
        <v>71590.25</v>
      </c>
      <c r="I236" s="8">
        <v>627</v>
      </c>
      <c r="J236" s="8">
        <v>0</v>
      </c>
      <c r="K236" s="8">
        <v>0</v>
      </c>
      <c r="L236" s="8">
        <v>1246.53</v>
      </c>
      <c r="M236" s="8">
        <v>8348.06</v>
      </c>
      <c r="N236" s="8">
        <v>50423.25</v>
      </c>
      <c r="O236" s="8" t="str">
        <f t="shared" si="23"/>
        <v>Not Fraud</v>
      </c>
      <c r="P236" s="8">
        <v>0</v>
      </c>
      <c r="Q236" s="8" t="s">
        <v>1027</v>
      </c>
      <c r="R236" s="8" t="s">
        <v>1029</v>
      </c>
      <c r="S236" s="8">
        <v>1643</v>
      </c>
      <c r="T236" s="8">
        <v>297</v>
      </c>
      <c r="U236" s="8">
        <v>8505.27</v>
      </c>
      <c r="V236" s="8">
        <v>3.1</v>
      </c>
      <c r="W236" s="8">
        <v>4.9000000000000004</v>
      </c>
      <c r="X236" s="8">
        <v>0</v>
      </c>
      <c r="Y236" s="20" t="str">
        <f t="shared" si="18"/>
        <v>Normal</v>
      </c>
      <c r="Z236" s="20">
        <f t="shared" si="19"/>
        <v>-0.36164860702510088</v>
      </c>
      <c r="AA236" s="20">
        <f t="shared" si="20"/>
        <v>-0.57597870719000732</v>
      </c>
      <c r="AB236" s="20">
        <f t="shared" si="21"/>
        <v>-0.50791770602223241</v>
      </c>
      <c r="AC236" s="20">
        <f t="shared" si="22"/>
        <v>-0.79403776362525369</v>
      </c>
      <c r="AD236" s="20"/>
    </row>
    <row r="237" spans="1:30" x14ac:dyDescent="0.45">
      <c r="A237" s="8" t="s">
        <v>129</v>
      </c>
      <c r="B237" s="8" t="s">
        <v>627</v>
      </c>
      <c r="C237" s="8">
        <v>78.3</v>
      </c>
      <c r="D237" s="8" t="s">
        <v>1010</v>
      </c>
      <c r="E237" s="8" t="s">
        <v>1012</v>
      </c>
      <c r="F237" s="8" t="s">
        <v>1019</v>
      </c>
      <c r="G237" s="8" t="s">
        <v>1022</v>
      </c>
      <c r="H237" s="8">
        <v>105800.62</v>
      </c>
      <c r="I237" s="8">
        <v>771</v>
      </c>
      <c r="J237" s="8">
        <v>0</v>
      </c>
      <c r="K237" s="8">
        <v>1</v>
      </c>
      <c r="L237" s="8">
        <v>1247</v>
      </c>
      <c r="M237" s="8">
        <v>58364.65</v>
      </c>
      <c r="N237" s="8">
        <v>76008.19</v>
      </c>
      <c r="O237" s="8" t="str">
        <f t="shared" si="23"/>
        <v>Fraud</v>
      </c>
      <c r="P237" s="8">
        <v>1</v>
      </c>
      <c r="Q237" s="8" t="s">
        <v>1024</v>
      </c>
      <c r="R237" s="8" t="s">
        <v>1026</v>
      </c>
      <c r="S237" s="8">
        <v>3027</v>
      </c>
      <c r="T237" s="8">
        <v>38</v>
      </c>
      <c r="U237" s="8">
        <v>9596.35</v>
      </c>
      <c r="V237" s="8">
        <v>4.5999999999999996</v>
      </c>
      <c r="W237" s="8">
        <v>4.0999999999999996</v>
      </c>
      <c r="X237" s="8">
        <v>753.26</v>
      </c>
      <c r="Y237" s="20" t="str">
        <f t="shared" si="18"/>
        <v>Normal</v>
      </c>
      <c r="Z237" s="20">
        <f t="shared" si="19"/>
        <v>-0.36142432150947618</v>
      </c>
      <c r="AA237" s="20">
        <f t="shared" si="20"/>
        <v>1.9201210038560792</v>
      </c>
      <c r="AB237" s="20">
        <f t="shared" si="21"/>
        <v>0.81924742250592308</v>
      </c>
      <c r="AC237" s="20">
        <f t="shared" si="22"/>
        <v>0.64182231264392775</v>
      </c>
      <c r="AD237" s="20"/>
    </row>
    <row r="238" spans="1:30" x14ac:dyDescent="0.45">
      <c r="A238" s="8" t="s">
        <v>375</v>
      </c>
      <c r="B238" s="8" t="s">
        <v>870</v>
      </c>
      <c r="C238" s="8">
        <v>62.9</v>
      </c>
      <c r="D238" s="8" t="s">
        <v>1010</v>
      </c>
      <c r="E238" s="8" t="s">
        <v>1013</v>
      </c>
      <c r="F238" s="8" t="s">
        <v>1019</v>
      </c>
      <c r="G238" s="8" t="s">
        <v>1021</v>
      </c>
      <c r="H238" s="8">
        <v>85258.39</v>
      </c>
      <c r="I238" s="8">
        <v>731</v>
      </c>
      <c r="J238" s="8">
        <v>0</v>
      </c>
      <c r="K238" s="8">
        <v>1</v>
      </c>
      <c r="L238" s="8">
        <v>1256.1199999999999</v>
      </c>
      <c r="M238" s="8">
        <v>58282.94</v>
      </c>
      <c r="N238" s="8">
        <v>60285.46</v>
      </c>
      <c r="O238" s="8" t="str">
        <f t="shared" si="23"/>
        <v>Not Fraud</v>
      </c>
      <c r="P238" s="8">
        <v>0</v>
      </c>
      <c r="Q238" s="8" t="s">
        <v>1026</v>
      </c>
      <c r="R238" s="8" t="s">
        <v>1028</v>
      </c>
      <c r="S238" s="8">
        <v>4700</v>
      </c>
      <c r="T238" s="8">
        <v>263</v>
      </c>
      <c r="U238" s="8">
        <v>193.53</v>
      </c>
      <c r="V238" s="8">
        <v>1.1000000000000001</v>
      </c>
      <c r="W238" s="8">
        <v>5.0999999999999996</v>
      </c>
      <c r="X238" s="8">
        <v>0</v>
      </c>
      <c r="Y238" s="20" t="str">
        <f t="shared" si="18"/>
        <v>Normal</v>
      </c>
      <c r="Z238" s="20">
        <f t="shared" si="19"/>
        <v>-0.35707222809990852</v>
      </c>
      <c r="AA238" s="20">
        <f t="shared" si="20"/>
        <v>1.9160432307134165</v>
      </c>
      <c r="AB238" s="20">
        <f t="shared" si="21"/>
        <v>3.663763475904342E-3</v>
      </c>
      <c r="AC238" s="20">
        <f t="shared" si="22"/>
        <v>-0.22036561267050367</v>
      </c>
      <c r="AD238" s="20"/>
    </row>
    <row r="239" spans="1:30" x14ac:dyDescent="0.45">
      <c r="A239" s="8" t="s">
        <v>291</v>
      </c>
      <c r="B239" s="8" t="s">
        <v>787</v>
      </c>
      <c r="C239" s="8">
        <v>43.4</v>
      </c>
      <c r="D239" s="8" t="s">
        <v>1010</v>
      </c>
      <c r="E239" s="8" t="s">
        <v>1012</v>
      </c>
      <c r="F239" s="8" t="s">
        <v>1016</v>
      </c>
      <c r="G239" s="8" t="s">
        <v>1023</v>
      </c>
      <c r="H239" s="8">
        <v>98079.61</v>
      </c>
      <c r="I239" s="8">
        <v>417</v>
      </c>
      <c r="J239" s="8">
        <v>0</v>
      </c>
      <c r="K239" s="8">
        <v>0</v>
      </c>
      <c r="L239" s="8">
        <v>1276.95</v>
      </c>
      <c r="M239" s="8">
        <v>21755.06</v>
      </c>
      <c r="N239" s="8">
        <v>60417.73</v>
      </c>
      <c r="O239" s="8" t="str">
        <f t="shared" si="23"/>
        <v>Not Fraud</v>
      </c>
      <c r="P239" s="8">
        <v>0</v>
      </c>
      <c r="Q239" s="8" t="s">
        <v>1027</v>
      </c>
      <c r="R239" s="8" t="s">
        <v>1030</v>
      </c>
      <c r="S239" s="8">
        <v>4201</v>
      </c>
      <c r="T239" s="8">
        <v>68</v>
      </c>
      <c r="U239" s="8">
        <v>7080.76</v>
      </c>
      <c r="V239" s="8">
        <v>4.3</v>
      </c>
      <c r="W239" s="8">
        <v>3.6</v>
      </c>
      <c r="X239" s="8">
        <v>0</v>
      </c>
      <c r="Y239" s="20" t="str">
        <f t="shared" si="18"/>
        <v>Normal</v>
      </c>
      <c r="Z239" s="20">
        <f t="shared" si="19"/>
        <v>-0.34713208492871372</v>
      </c>
      <c r="AA239" s="20">
        <f t="shared" si="20"/>
        <v>9.3103467864207354E-2</v>
      </c>
      <c r="AB239" s="20">
        <f t="shared" si="21"/>
        <v>1.0524992446948421E-2</v>
      </c>
      <c r="AC239" s="20">
        <f t="shared" si="22"/>
        <v>0.31776004709476507</v>
      </c>
      <c r="AD239" s="20"/>
    </row>
    <row r="240" spans="1:30" x14ac:dyDescent="0.45">
      <c r="A240" s="8" t="s">
        <v>66</v>
      </c>
      <c r="B240" s="8" t="s">
        <v>566</v>
      </c>
      <c r="C240" s="8">
        <v>45.5</v>
      </c>
      <c r="D240" s="8" t="s">
        <v>1010</v>
      </c>
      <c r="E240" s="8" t="s">
        <v>1012</v>
      </c>
      <c r="F240" s="8" t="s">
        <v>1016</v>
      </c>
      <c r="G240" s="8" t="s">
        <v>1020</v>
      </c>
      <c r="H240" s="8">
        <v>83347.05</v>
      </c>
      <c r="I240" s="8">
        <v>667</v>
      </c>
      <c r="J240" s="8">
        <v>1</v>
      </c>
      <c r="K240" s="8">
        <v>0</v>
      </c>
      <c r="L240" s="8">
        <v>1286.94</v>
      </c>
      <c r="M240" s="8">
        <v>2835.41</v>
      </c>
      <c r="N240" s="8">
        <v>54279.92</v>
      </c>
      <c r="O240" s="8" t="str">
        <f t="shared" si="23"/>
        <v>Fraud</v>
      </c>
      <c r="P240" s="8">
        <v>1</v>
      </c>
      <c r="Q240" s="8" t="s">
        <v>1027</v>
      </c>
      <c r="R240" s="8" t="s">
        <v>1029</v>
      </c>
      <c r="S240" s="8">
        <v>1807</v>
      </c>
      <c r="T240" s="8">
        <v>208</v>
      </c>
      <c r="U240" s="8">
        <v>4157.4799999999996</v>
      </c>
      <c r="V240" s="8">
        <v>5.4</v>
      </c>
      <c r="W240" s="8">
        <v>3.2</v>
      </c>
      <c r="X240" s="8">
        <v>1243.5</v>
      </c>
      <c r="Y240" s="20" t="str">
        <f t="shared" si="18"/>
        <v>Normal</v>
      </c>
      <c r="Z240" s="20">
        <f t="shared" si="19"/>
        <v>-0.34236482471362806</v>
      </c>
      <c r="AA240" s="20">
        <f t="shared" si="20"/>
        <v>-0.85108990673596219</v>
      </c>
      <c r="AB240" s="20">
        <f t="shared" si="21"/>
        <v>-0.30786103454906577</v>
      </c>
      <c r="AC240" s="20">
        <f t="shared" si="22"/>
        <v>-0.30058739332287115</v>
      </c>
      <c r="AD240" s="20"/>
    </row>
    <row r="241" spans="1:30" x14ac:dyDescent="0.45">
      <c r="A241" s="8" t="s">
        <v>119</v>
      </c>
      <c r="B241" s="8" t="s">
        <v>619</v>
      </c>
      <c r="C241" s="8">
        <v>54.4</v>
      </c>
      <c r="D241" s="8" t="s">
        <v>1010</v>
      </c>
      <c r="E241" s="8" t="s">
        <v>1013</v>
      </c>
      <c r="F241" s="8" t="s">
        <v>1017</v>
      </c>
      <c r="G241" s="8" t="s">
        <v>1020</v>
      </c>
      <c r="H241" s="8">
        <v>61478.95</v>
      </c>
      <c r="I241" s="8">
        <v>671</v>
      </c>
      <c r="J241" s="8">
        <v>0</v>
      </c>
      <c r="K241" s="8">
        <v>1</v>
      </c>
      <c r="L241" s="8">
        <v>1308.56</v>
      </c>
      <c r="M241" s="8">
        <v>42080.18</v>
      </c>
      <c r="N241" s="8">
        <v>40566.870000000003</v>
      </c>
      <c r="O241" s="8" t="str">
        <f t="shared" si="23"/>
        <v>Fraud</v>
      </c>
      <c r="P241" s="8">
        <v>1</v>
      </c>
      <c r="Q241" s="8" t="s">
        <v>1026</v>
      </c>
      <c r="R241" s="8" t="s">
        <v>1028</v>
      </c>
      <c r="S241" s="8">
        <v>2876</v>
      </c>
      <c r="T241" s="8">
        <v>288</v>
      </c>
      <c r="U241" s="8">
        <v>1782.32</v>
      </c>
      <c r="V241" s="8">
        <v>5.9</v>
      </c>
      <c r="W241" s="8">
        <v>4</v>
      </c>
      <c r="X241" s="8">
        <v>1113.81</v>
      </c>
      <c r="Y241" s="20" t="str">
        <f t="shared" si="18"/>
        <v>Normal</v>
      </c>
      <c r="Z241" s="20">
        <f t="shared" si="19"/>
        <v>-0.33204769099489412</v>
      </c>
      <c r="AA241" s="20">
        <f t="shared" si="20"/>
        <v>1.1074374350334413</v>
      </c>
      <c r="AB241" s="20">
        <f t="shared" si="21"/>
        <v>-1.0191967564918578</v>
      </c>
      <c r="AC241" s="20">
        <f t="shared" si="22"/>
        <v>-1.2184240531971169</v>
      </c>
      <c r="AD241" s="20"/>
    </row>
    <row r="242" spans="1:30" x14ac:dyDescent="0.45">
      <c r="A242" s="8" t="s">
        <v>199</v>
      </c>
      <c r="B242" s="8" t="s">
        <v>697</v>
      </c>
      <c r="C242" s="8">
        <v>50.2</v>
      </c>
      <c r="D242" s="8" t="s">
        <v>1009</v>
      </c>
      <c r="E242" s="8" t="s">
        <v>1015</v>
      </c>
      <c r="F242" s="8" t="s">
        <v>1018</v>
      </c>
      <c r="G242" s="8" t="s">
        <v>1022</v>
      </c>
      <c r="H242" s="8">
        <v>91809.52</v>
      </c>
      <c r="I242" s="8">
        <v>675</v>
      </c>
      <c r="J242" s="8">
        <v>0</v>
      </c>
      <c r="K242" s="8">
        <v>0</v>
      </c>
      <c r="L242" s="8">
        <v>1322.82</v>
      </c>
      <c r="M242" s="8">
        <v>22506.69</v>
      </c>
      <c r="N242" s="8">
        <v>77017.960000000006</v>
      </c>
      <c r="O242" s="8" t="str">
        <f t="shared" si="23"/>
        <v>Fraud</v>
      </c>
      <c r="P242" s="8">
        <v>1</v>
      </c>
      <c r="Q242" s="8" t="s">
        <v>1024</v>
      </c>
      <c r="R242" s="8" t="s">
        <v>1026</v>
      </c>
      <c r="S242" s="8">
        <v>3178</v>
      </c>
      <c r="T242" s="8">
        <v>260</v>
      </c>
      <c r="U242" s="8">
        <v>4544.1499999999996</v>
      </c>
      <c r="V242" s="8">
        <v>0.5</v>
      </c>
      <c r="W242" s="8">
        <v>8.5</v>
      </c>
      <c r="X242" s="8">
        <v>887.02</v>
      </c>
      <c r="Y242" s="20" t="str">
        <f t="shared" si="18"/>
        <v>Normal</v>
      </c>
      <c r="Z242" s="20">
        <f t="shared" si="19"/>
        <v>-0.32524277301019722</v>
      </c>
      <c r="AA242" s="20">
        <f t="shared" si="20"/>
        <v>0.13061389042227384</v>
      </c>
      <c r="AB242" s="20">
        <f t="shared" si="21"/>
        <v>0.87162712446472701</v>
      </c>
      <c r="AC242" s="20">
        <f t="shared" si="22"/>
        <v>5.4595050469045253E-2</v>
      </c>
      <c r="AD242" s="20"/>
    </row>
    <row r="243" spans="1:30" x14ac:dyDescent="0.45">
      <c r="A243" s="8" t="s">
        <v>233</v>
      </c>
      <c r="B243" s="8" t="s">
        <v>731</v>
      </c>
      <c r="C243" s="8">
        <v>58.6</v>
      </c>
      <c r="D243" s="8" t="s">
        <v>1009</v>
      </c>
      <c r="E243" s="8" t="s">
        <v>1012</v>
      </c>
      <c r="F243" s="8" t="s">
        <v>1019</v>
      </c>
      <c r="G243" s="8" t="s">
        <v>1022</v>
      </c>
      <c r="H243" s="8">
        <v>123508.7</v>
      </c>
      <c r="I243" s="8">
        <v>581</v>
      </c>
      <c r="J243" s="8">
        <v>1</v>
      </c>
      <c r="K243" s="8">
        <v>1</v>
      </c>
      <c r="L243" s="8">
        <v>1328.31</v>
      </c>
      <c r="M243" s="8">
        <v>6058.16</v>
      </c>
      <c r="N243" s="8">
        <v>80782.240000000005</v>
      </c>
      <c r="O243" s="8" t="str">
        <f t="shared" si="23"/>
        <v>Fraud</v>
      </c>
      <c r="P243" s="8">
        <v>1</v>
      </c>
      <c r="Q243" s="8" t="s">
        <v>1025</v>
      </c>
      <c r="R243" s="8" t="s">
        <v>1028</v>
      </c>
      <c r="S243" s="8">
        <v>3032</v>
      </c>
      <c r="T243" s="8">
        <v>72</v>
      </c>
      <c r="U243" s="8">
        <v>2082.62</v>
      </c>
      <c r="V243" s="8">
        <v>3</v>
      </c>
      <c r="W243" s="8">
        <v>4.5</v>
      </c>
      <c r="X243" s="8">
        <v>868.34</v>
      </c>
      <c r="Y243" s="20" t="str">
        <f t="shared" si="18"/>
        <v>Normal</v>
      </c>
      <c r="Z243" s="20">
        <f t="shared" si="19"/>
        <v>-0.3226229273064114</v>
      </c>
      <c r="AA243" s="20">
        <f t="shared" si="20"/>
        <v>-0.69025716416447191</v>
      </c>
      <c r="AB243" s="20">
        <f t="shared" si="21"/>
        <v>1.0668912583659971</v>
      </c>
      <c r="AC243" s="20">
        <f t="shared" si="22"/>
        <v>1.3850567500201025</v>
      </c>
      <c r="AD243" s="20"/>
    </row>
    <row r="244" spans="1:30" x14ac:dyDescent="0.45">
      <c r="A244" s="8" t="s">
        <v>120</v>
      </c>
      <c r="B244" s="8" t="s">
        <v>620</v>
      </c>
      <c r="C244" s="8">
        <v>53.9</v>
      </c>
      <c r="D244" s="8" t="s">
        <v>1009</v>
      </c>
      <c r="E244" s="8" t="s">
        <v>1014</v>
      </c>
      <c r="F244" s="8" t="s">
        <v>1018</v>
      </c>
      <c r="G244" s="8" t="s">
        <v>1021</v>
      </c>
      <c r="H244" s="8">
        <v>88198.31</v>
      </c>
      <c r="I244" s="8">
        <v>752</v>
      </c>
      <c r="J244" s="8">
        <v>1</v>
      </c>
      <c r="K244" s="8">
        <v>1</v>
      </c>
      <c r="L244" s="8">
        <v>1330.62</v>
      </c>
      <c r="M244" s="8">
        <v>16323.19</v>
      </c>
      <c r="N244" s="8">
        <v>32407.64</v>
      </c>
      <c r="O244" s="8" t="str">
        <f t="shared" si="23"/>
        <v>Not Fraud</v>
      </c>
      <c r="P244" s="8">
        <v>0</v>
      </c>
      <c r="Q244" s="8" t="s">
        <v>1024</v>
      </c>
      <c r="R244" s="8" t="s">
        <v>1030</v>
      </c>
      <c r="S244" s="8">
        <v>2162</v>
      </c>
      <c r="T244" s="8">
        <v>226</v>
      </c>
      <c r="U244" s="8">
        <v>1105.27</v>
      </c>
      <c r="V244" s="8">
        <v>3.9</v>
      </c>
      <c r="W244" s="8">
        <v>7.5</v>
      </c>
      <c r="X244" s="8">
        <v>0</v>
      </c>
      <c r="Y244" s="20" t="str">
        <f t="shared" si="18"/>
        <v>Normal</v>
      </c>
      <c r="Z244" s="20">
        <f t="shared" si="19"/>
        <v>-0.3215205878572775</v>
      </c>
      <c r="AA244" s="20">
        <f t="shared" si="20"/>
        <v>-0.1779763705941903</v>
      </c>
      <c r="AB244" s="20">
        <f t="shared" si="21"/>
        <v>-1.442439708464416</v>
      </c>
      <c r="AC244" s="20">
        <f t="shared" si="22"/>
        <v>-9.6972800624761699E-2</v>
      </c>
      <c r="AD244" s="20"/>
    </row>
    <row r="245" spans="1:30" x14ac:dyDescent="0.45">
      <c r="A245" s="8" t="s">
        <v>301</v>
      </c>
      <c r="B245" s="8" t="s">
        <v>797</v>
      </c>
      <c r="C245" s="8">
        <v>51</v>
      </c>
      <c r="D245" s="8" t="s">
        <v>1010</v>
      </c>
      <c r="E245" s="8" t="s">
        <v>1014</v>
      </c>
      <c r="F245" s="8" t="s">
        <v>1019</v>
      </c>
      <c r="G245" s="8" t="s">
        <v>1020</v>
      </c>
      <c r="H245" s="8">
        <v>108922.86</v>
      </c>
      <c r="I245" s="8">
        <v>613</v>
      </c>
      <c r="J245" s="8">
        <v>0</v>
      </c>
      <c r="K245" s="8">
        <v>1</v>
      </c>
      <c r="L245" s="8">
        <v>1332.94</v>
      </c>
      <c r="M245" s="8">
        <v>5919.43</v>
      </c>
      <c r="N245" s="8">
        <v>69964.429999999993</v>
      </c>
      <c r="O245" s="8" t="str">
        <f t="shared" si="23"/>
        <v>Fraud</v>
      </c>
      <c r="P245" s="8">
        <v>1</v>
      </c>
      <c r="Q245" s="8" t="s">
        <v>1026</v>
      </c>
      <c r="R245" s="8" t="s">
        <v>1026</v>
      </c>
      <c r="S245" s="8">
        <v>2546</v>
      </c>
      <c r="T245" s="8">
        <v>175</v>
      </c>
      <c r="U245" s="8">
        <v>4791.66</v>
      </c>
      <c r="V245" s="8">
        <v>6.3</v>
      </c>
      <c r="W245" s="8">
        <v>3.5</v>
      </c>
      <c r="X245" s="8">
        <v>1151.9000000000001</v>
      </c>
      <c r="Y245" s="20" t="str">
        <f t="shared" si="18"/>
        <v>Normal</v>
      </c>
      <c r="Z245" s="20">
        <f t="shared" si="19"/>
        <v>-0.32041347637589612</v>
      </c>
      <c r="AA245" s="20">
        <f t="shared" si="20"/>
        <v>-0.69718054524489781</v>
      </c>
      <c r="AB245" s="20">
        <f t="shared" si="21"/>
        <v>0.50574004210193013</v>
      </c>
      <c r="AC245" s="20">
        <f t="shared" si="22"/>
        <v>0.77286736607453066</v>
      </c>
      <c r="AD245" s="20"/>
    </row>
    <row r="246" spans="1:30" x14ac:dyDescent="0.45">
      <c r="A246" s="8" t="s">
        <v>382</v>
      </c>
      <c r="B246" s="8" t="s">
        <v>876</v>
      </c>
      <c r="C246" s="8">
        <v>37.6</v>
      </c>
      <c r="D246" s="8" t="s">
        <v>1009</v>
      </c>
      <c r="E246" s="8" t="s">
        <v>1011</v>
      </c>
      <c r="F246" s="8" t="s">
        <v>1018</v>
      </c>
      <c r="G246" s="8" t="s">
        <v>1022</v>
      </c>
      <c r="H246" s="8">
        <v>67087.259999999995</v>
      </c>
      <c r="I246" s="8">
        <v>735</v>
      </c>
      <c r="J246" s="8">
        <v>1</v>
      </c>
      <c r="K246" s="8">
        <v>1</v>
      </c>
      <c r="L246" s="8">
        <v>1336.42</v>
      </c>
      <c r="M246" s="8">
        <v>5815.46</v>
      </c>
      <c r="N246" s="8">
        <v>28715.17</v>
      </c>
      <c r="O246" s="8" t="str">
        <f t="shared" si="23"/>
        <v>Fraud</v>
      </c>
      <c r="P246" s="8">
        <v>1</v>
      </c>
      <c r="Q246" s="8" t="s">
        <v>1025</v>
      </c>
      <c r="R246" s="8" t="s">
        <v>1028</v>
      </c>
      <c r="S246" s="8">
        <v>1937</v>
      </c>
      <c r="T246" s="8">
        <v>294</v>
      </c>
      <c r="U246" s="8">
        <v>4833.2700000000004</v>
      </c>
      <c r="V246" s="8">
        <v>4.4000000000000004</v>
      </c>
      <c r="W246" s="8">
        <v>0.7</v>
      </c>
      <c r="X246" s="8">
        <v>1114.43</v>
      </c>
      <c r="Y246" s="20" t="str">
        <f t="shared" si="18"/>
        <v>Normal</v>
      </c>
      <c r="Z246" s="20">
        <f t="shared" si="19"/>
        <v>-0.3187528091538242</v>
      </c>
      <c r="AA246" s="20">
        <f t="shared" si="20"/>
        <v>-0.70236921338395863</v>
      </c>
      <c r="AB246" s="20">
        <f t="shared" si="21"/>
        <v>-1.6339788491517249</v>
      </c>
      <c r="AC246" s="20">
        <f t="shared" si="22"/>
        <v>-0.98303494678461056</v>
      </c>
      <c r="AD246" s="20"/>
    </row>
    <row r="247" spans="1:30" x14ac:dyDescent="0.45">
      <c r="A247" s="8" t="s">
        <v>114</v>
      </c>
      <c r="B247" s="8" t="s">
        <v>614</v>
      </c>
      <c r="C247" s="8">
        <v>64.5</v>
      </c>
      <c r="D247" s="8" t="s">
        <v>1009</v>
      </c>
      <c r="E247" s="8" t="s">
        <v>1014</v>
      </c>
      <c r="F247" s="8" t="s">
        <v>1019</v>
      </c>
      <c r="G247" s="8" t="s">
        <v>1023</v>
      </c>
      <c r="H247" s="8">
        <v>93053.07</v>
      </c>
      <c r="I247" s="8">
        <v>658</v>
      </c>
      <c r="J247" s="8">
        <v>1</v>
      </c>
      <c r="K247" s="8">
        <v>0</v>
      </c>
      <c r="L247" s="8">
        <v>1338.47</v>
      </c>
      <c r="M247" s="8">
        <v>14092.12</v>
      </c>
      <c r="N247" s="8">
        <v>52229.63</v>
      </c>
      <c r="O247" s="8" t="str">
        <f t="shared" si="23"/>
        <v>Fraud</v>
      </c>
      <c r="P247" s="8">
        <v>1</v>
      </c>
      <c r="Q247" s="8" t="s">
        <v>1024</v>
      </c>
      <c r="R247" s="8" t="s">
        <v>1029</v>
      </c>
      <c r="S247" s="8">
        <v>2221</v>
      </c>
      <c r="T247" s="8">
        <v>287</v>
      </c>
      <c r="U247" s="8">
        <v>6955.63</v>
      </c>
      <c r="V247" s="8">
        <v>5.3</v>
      </c>
      <c r="W247" s="8">
        <v>6.6</v>
      </c>
      <c r="X247" s="8">
        <v>1170.6500000000001</v>
      </c>
      <c r="Y247" s="20" t="str">
        <f t="shared" si="18"/>
        <v>Normal</v>
      </c>
      <c r="Z247" s="20">
        <f t="shared" si="19"/>
        <v>-0.31777454254312099</v>
      </c>
      <c r="AA247" s="20">
        <f t="shared" si="20"/>
        <v>-0.28931889079246037</v>
      </c>
      <c r="AB247" s="20">
        <f t="shared" si="21"/>
        <v>-0.41421553025513319</v>
      </c>
      <c r="AC247" s="20">
        <f t="shared" si="22"/>
        <v>0.10678869227544913</v>
      </c>
      <c r="AD247" s="20"/>
    </row>
    <row r="248" spans="1:30" x14ac:dyDescent="0.45">
      <c r="A248" s="8" t="s">
        <v>400</v>
      </c>
      <c r="B248" s="8" t="s">
        <v>893</v>
      </c>
      <c r="C248" s="8">
        <v>52.8</v>
      </c>
      <c r="D248" s="8" t="s">
        <v>1009</v>
      </c>
      <c r="E248" s="8" t="s">
        <v>1012</v>
      </c>
      <c r="F248" s="8" t="s">
        <v>1019</v>
      </c>
      <c r="G248" s="8" t="s">
        <v>1021</v>
      </c>
      <c r="H248" s="8">
        <v>86021.16</v>
      </c>
      <c r="I248" s="8">
        <v>654</v>
      </c>
      <c r="J248" s="8">
        <v>1</v>
      </c>
      <c r="K248" s="8">
        <v>1</v>
      </c>
      <c r="L248" s="8">
        <v>1342.58</v>
      </c>
      <c r="M248" s="8">
        <v>24715.38</v>
      </c>
      <c r="N248" s="8">
        <v>68085.899999999994</v>
      </c>
      <c r="O248" s="8" t="str">
        <f t="shared" si="23"/>
        <v>Not Fraud</v>
      </c>
      <c r="P248" s="8">
        <v>0</v>
      </c>
      <c r="Q248" s="8" t="s">
        <v>1024</v>
      </c>
      <c r="R248" s="8" t="s">
        <v>1026</v>
      </c>
      <c r="S248" s="8">
        <v>4868</v>
      </c>
      <c r="T248" s="8">
        <v>42</v>
      </c>
      <c r="U248" s="8">
        <v>9910.65</v>
      </c>
      <c r="V248" s="8">
        <v>1</v>
      </c>
      <c r="W248" s="8">
        <v>5.6</v>
      </c>
      <c r="X248" s="8">
        <v>0</v>
      </c>
      <c r="Y248" s="20" t="str">
        <f t="shared" si="18"/>
        <v>Normal</v>
      </c>
      <c r="Z248" s="20">
        <f t="shared" si="19"/>
        <v>-0.31581323728946714</v>
      </c>
      <c r="AA248" s="20">
        <f t="shared" si="20"/>
        <v>0.24083952697187441</v>
      </c>
      <c r="AB248" s="20">
        <f t="shared" si="21"/>
        <v>0.40829523633361509</v>
      </c>
      <c r="AC248" s="20">
        <f t="shared" si="22"/>
        <v>-0.18835102205438786</v>
      </c>
      <c r="AD248" s="20"/>
    </row>
    <row r="249" spans="1:30" x14ac:dyDescent="0.45">
      <c r="A249" s="8" t="s">
        <v>292</v>
      </c>
      <c r="B249" s="8" t="s">
        <v>788</v>
      </c>
      <c r="C249" s="8">
        <v>52</v>
      </c>
      <c r="D249" s="8" t="s">
        <v>1009</v>
      </c>
      <c r="E249" s="8" t="s">
        <v>1015</v>
      </c>
      <c r="F249" s="8" t="s">
        <v>1016</v>
      </c>
      <c r="G249" s="8" t="s">
        <v>1022</v>
      </c>
      <c r="H249" s="8">
        <v>110072.73</v>
      </c>
      <c r="I249" s="8">
        <v>620</v>
      </c>
      <c r="J249" s="8">
        <v>0</v>
      </c>
      <c r="K249" s="8">
        <v>1</v>
      </c>
      <c r="L249" s="8">
        <v>1347.91</v>
      </c>
      <c r="M249" s="8">
        <v>22730.43</v>
      </c>
      <c r="N249" s="8">
        <v>64614.02</v>
      </c>
      <c r="O249" s="8" t="str">
        <f t="shared" si="23"/>
        <v>Fraud</v>
      </c>
      <c r="P249" s="8">
        <v>1</v>
      </c>
      <c r="Q249" s="8" t="s">
        <v>1025</v>
      </c>
      <c r="R249" s="8" t="s">
        <v>1028</v>
      </c>
      <c r="S249" s="8">
        <v>3259</v>
      </c>
      <c r="T249" s="8">
        <v>28</v>
      </c>
      <c r="U249" s="8">
        <v>4835.29</v>
      </c>
      <c r="V249" s="8">
        <v>6.1</v>
      </c>
      <c r="W249" s="8">
        <v>8</v>
      </c>
      <c r="X249" s="8">
        <v>838.97</v>
      </c>
      <c r="Y249" s="20" t="str">
        <f t="shared" si="18"/>
        <v>Normal</v>
      </c>
      <c r="Z249" s="20">
        <f t="shared" si="19"/>
        <v>-0.3132697441016386</v>
      </c>
      <c r="AA249" s="20">
        <f t="shared" si="20"/>
        <v>0.14177973258283408</v>
      </c>
      <c r="AB249" s="20">
        <f t="shared" si="21"/>
        <v>0.22819873947122929</v>
      </c>
      <c r="AC249" s="20">
        <f t="shared" si="22"/>
        <v>0.82112911904299135</v>
      </c>
      <c r="AD249" s="20"/>
    </row>
    <row r="250" spans="1:30" x14ac:dyDescent="0.45">
      <c r="A250" s="8" t="s">
        <v>297</v>
      </c>
      <c r="B250" s="8" t="s">
        <v>793</v>
      </c>
      <c r="C250" s="8">
        <v>35.299999999999997</v>
      </c>
      <c r="D250" s="8" t="s">
        <v>1009</v>
      </c>
      <c r="E250" s="8" t="s">
        <v>1014</v>
      </c>
      <c r="F250" s="8" t="s">
        <v>1016</v>
      </c>
      <c r="G250" s="8" t="s">
        <v>1021</v>
      </c>
      <c r="H250" s="8">
        <v>118210.47</v>
      </c>
      <c r="I250" s="8">
        <v>756</v>
      </c>
      <c r="J250" s="8">
        <v>0</v>
      </c>
      <c r="K250" s="8">
        <v>0</v>
      </c>
      <c r="L250" s="8">
        <v>1354.26</v>
      </c>
      <c r="M250" s="8">
        <v>42364.05</v>
      </c>
      <c r="N250" s="8">
        <v>85632.88</v>
      </c>
      <c r="O250" s="8" t="str">
        <f t="shared" si="23"/>
        <v>Fraud</v>
      </c>
      <c r="P250" s="8">
        <v>1</v>
      </c>
      <c r="Q250" s="8" t="s">
        <v>1025</v>
      </c>
      <c r="R250" s="8" t="s">
        <v>1030</v>
      </c>
      <c r="S250" s="8">
        <v>2999</v>
      </c>
      <c r="T250" s="8">
        <v>79</v>
      </c>
      <c r="U250" s="8">
        <v>4085.55</v>
      </c>
      <c r="V250" s="8">
        <v>3.3</v>
      </c>
      <c r="W250" s="8">
        <v>6.1</v>
      </c>
      <c r="X250" s="8">
        <v>966.54</v>
      </c>
      <c r="Y250" s="20" t="str">
        <f t="shared" si="18"/>
        <v>Normal</v>
      </c>
      <c r="Z250" s="20">
        <f t="shared" si="19"/>
        <v>-0.31023950362458214</v>
      </c>
      <c r="AA250" s="20">
        <f t="shared" si="20"/>
        <v>1.1216040910364726</v>
      </c>
      <c r="AB250" s="20">
        <f t="shared" si="21"/>
        <v>1.3185080399196694</v>
      </c>
      <c r="AC250" s="20">
        <f t="shared" si="22"/>
        <v>1.1626821620839984</v>
      </c>
      <c r="AD250" s="20"/>
    </row>
    <row r="251" spans="1:30" x14ac:dyDescent="0.45">
      <c r="A251" s="8" t="s">
        <v>127</v>
      </c>
      <c r="B251" s="8" t="s">
        <v>527</v>
      </c>
      <c r="C251" s="8">
        <v>47.6</v>
      </c>
      <c r="D251" s="8" t="s">
        <v>1010</v>
      </c>
      <c r="E251" s="8" t="s">
        <v>1014</v>
      </c>
      <c r="F251" s="8" t="s">
        <v>1019</v>
      </c>
      <c r="G251" s="8" t="s">
        <v>1021</v>
      </c>
      <c r="H251" s="8">
        <v>77551.19</v>
      </c>
      <c r="I251" s="8">
        <v>560</v>
      </c>
      <c r="J251" s="8">
        <v>1</v>
      </c>
      <c r="K251" s="8">
        <v>1</v>
      </c>
      <c r="L251" s="8">
        <v>1355.99</v>
      </c>
      <c r="M251" s="8">
        <v>20745.009999999998</v>
      </c>
      <c r="N251" s="8">
        <v>47170.37</v>
      </c>
      <c r="O251" s="8" t="str">
        <f t="shared" si="23"/>
        <v>Not Fraud</v>
      </c>
      <c r="P251" s="8">
        <v>0</v>
      </c>
      <c r="Q251" s="8" t="s">
        <v>1026</v>
      </c>
      <c r="R251" s="8" t="s">
        <v>1026</v>
      </c>
      <c r="S251" s="8">
        <v>4063</v>
      </c>
      <c r="T251" s="8">
        <v>239</v>
      </c>
      <c r="U251" s="8">
        <v>8066.89</v>
      </c>
      <c r="V251" s="8">
        <v>1.8</v>
      </c>
      <c r="W251" s="8">
        <v>2.4</v>
      </c>
      <c r="X251" s="8">
        <v>0</v>
      </c>
      <c r="Y251" s="20" t="str">
        <f t="shared" si="18"/>
        <v>Normal</v>
      </c>
      <c r="Z251" s="20">
        <f t="shared" si="19"/>
        <v>-0.30941394204579353</v>
      </c>
      <c r="AA251" s="20">
        <f t="shared" si="20"/>
        <v>4.2696482639062915E-2</v>
      </c>
      <c r="AB251" s="20">
        <f t="shared" si="21"/>
        <v>-0.67665403697656179</v>
      </c>
      <c r="AC251" s="20">
        <f t="shared" si="22"/>
        <v>-0.54384825199366305</v>
      </c>
      <c r="AD251" s="20"/>
    </row>
    <row r="252" spans="1:30" x14ac:dyDescent="0.45">
      <c r="A252" s="8" t="s">
        <v>290</v>
      </c>
      <c r="B252" s="8" t="s">
        <v>786</v>
      </c>
      <c r="C252" s="8">
        <v>28.5</v>
      </c>
      <c r="D252" s="8" t="s">
        <v>1010</v>
      </c>
      <c r="E252" s="8" t="s">
        <v>1015</v>
      </c>
      <c r="F252" s="8" t="s">
        <v>1019</v>
      </c>
      <c r="G252" s="8" t="s">
        <v>1023</v>
      </c>
      <c r="H252" s="8">
        <v>146018.66</v>
      </c>
      <c r="I252" s="8">
        <v>620</v>
      </c>
      <c r="J252" s="8">
        <v>1</v>
      </c>
      <c r="K252" s="8">
        <v>1</v>
      </c>
      <c r="L252" s="8">
        <v>1358.42</v>
      </c>
      <c r="M252" s="8">
        <v>16629.37</v>
      </c>
      <c r="N252" s="8">
        <v>93229.4</v>
      </c>
      <c r="O252" s="8" t="str">
        <f t="shared" si="23"/>
        <v>Not Fraud</v>
      </c>
      <c r="P252" s="8">
        <v>0</v>
      </c>
      <c r="Q252" s="8" t="s">
        <v>1026</v>
      </c>
      <c r="R252" s="8" t="s">
        <v>1026</v>
      </c>
      <c r="S252" s="8">
        <v>2946</v>
      </c>
      <c r="T252" s="8">
        <v>232</v>
      </c>
      <c r="U252" s="8">
        <v>761.27</v>
      </c>
      <c r="V252" s="8">
        <v>0.5</v>
      </c>
      <c r="W252" s="8">
        <v>8.6</v>
      </c>
      <c r="X252" s="8">
        <v>0</v>
      </c>
      <c r="Y252" s="20" t="str">
        <f t="shared" si="18"/>
        <v>Normal</v>
      </c>
      <c r="Z252" s="20">
        <f t="shared" si="19"/>
        <v>-0.30825433820969156</v>
      </c>
      <c r="AA252" s="20">
        <f t="shared" si="20"/>
        <v>-0.16269632432298137</v>
      </c>
      <c r="AB252" s="20">
        <f t="shared" si="21"/>
        <v>1.7125615902569651</v>
      </c>
      <c r="AC252" s="20">
        <f t="shared" si="22"/>
        <v>2.3298332281001768</v>
      </c>
      <c r="AD252" s="20"/>
    </row>
    <row r="253" spans="1:30" x14ac:dyDescent="0.45">
      <c r="A253" s="8" t="s">
        <v>341</v>
      </c>
      <c r="B253" s="8" t="s">
        <v>837</v>
      </c>
      <c r="C253" s="8">
        <v>54.9</v>
      </c>
      <c r="D253" s="8" t="s">
        <v>1009</v>
      </c>
      <c r="E253" s="8" t="s">
        <v>1013</v>
      </c>
      <c r="F253" s="8" t="s">
        <v>1019</v>
      </c>
      <c r="G253" s="8" t="s">
        <v>1022</v>
      </c>
      <c r="H253" s="8">
        <v>134579.22</v>
      </c>
      <c r="I253" s="8">
        <v>668</v>
      </c>
      <c r="J253" s="8">
        <v>0</v>
      </c>
      <c r="K253" s="8">
        <v>1</v>
      </c>
      <c r="L253" s="8">
        <v>1358.61</v>
      </c>
      <c r="M253" s="8">
        <v>37432.19</v>
      </c>
      <c r="N253" s="8">
        <v>74395.16</v>
      </c>
      <c r="O253" s="8" t="str">
        <f t="shared" si="23"/>
        <v>Not Fraud</v>
      </c>
      <c r="P253" s="8">
        <v>0</v>
      </c>
      <c r="Q253" s="8" t="s">
        <v>1026</v>
      </c>
      <c r="R253" s="8" t="s">
        <v>1026</v>
      </c>
      <c r="S253" s="8">
        <v>4514</v>
      </c>
      <c r="T253" s="8">
        <v>278</v>
      </c>
      <c r="U253" s="8">
        <v>1459.6</v>
      </c>
      <c r="V253" s="8">
        <v>2</v>
      </c>
      <c r="W253" s="8">
        <v>7.5</v>
      </c>
      <c r="X253" s="8">
        <v>0</v>
      </c>
      <c r="Y253" s="20" t="str">
        <f t="shared" si="18"/>
        <v>Normal</v>
      </c>
      <c r="Z253" s="20">
        <f t="shared" si="19"/>
        <v>-0.30816366959699232</v>
      </c>
      <c r="AA253" s="20">
        <f t="shared" si="20"/>
        <v>0.87547746943112614</v>
      </c>
      <c r="AB253" s="20">
        <f t="shared" si="21"/>
        <v>0.73557487266723798</v>
      </c>
      <c r="AC253" s="20">
        <f t="shared" si="22"/>
        <v>1.8497029286945661</v>
      </c>
      <c r="AD253" s="20"/>
    </row>
    <row r="254" spans="1:30" x14ac:dyDescent="0.45">
      <c r="A254" s="8" t="s">
        <v>445</v>
      </c>
      <c r="B254" s="8" t="s">
        <v>935</v>
      </c>
      <c r="C254" s="8">
        <v>46.3</v>
      </c>
      <c r="D254" s="8" t="s">
        <v>1009</v>
      </c>
      <c r="E254" s="8" t="s">
        <v>1012</v>
      </c>
      <c r="F254" s="8" t="s">
        <v>1019</v>
      </c>
      <c r="G254" s="8" t="s">
        <v>1020</v>
      </c>
      <c r="H254" s="8">
        <v>100925.46</v>
      </c>
      <c r="I254" s="8">
        <v>693</v>
      </c>
      <c r="J254" s="8">
        <v>1</v>
      </c>
      <c r="K254" s="8">
        <v>0</v>
      </c>
      <c r="L254" s="8">
        <v>1372.4</v>
      </c>
      <c r="M254" s="8">
        <v>10859.05</v>
      </c>
      <c r="N254" s="8">
        <v>72134.460000000006</v>
      </c>
      <c r="O254" s="8" t="str">
        <f t="shared" si="23"/>
        <v>Not Fraud</v>
      </c>
      <c r="P254" s="8">
        <v>0</v>
      </c>
      <c r="Q254" s="8" t="s">
        <v>1024</v>
      </c>
      <c r="R254" s="8" t="s">
        <v>1030</v>
      </c>
      <c r="S254" s="8">
        <v>1830</v>
      </c>
      <c r="T254" s="8">
        <v>128</v>
      </c>
      <c r="U254" s="8">
        <v>4721.37</v>
      </c>
      <c r="V254" s="8">
        <v>6.5</v>
      </c>
      <c r="W254" s="8">
        <v>2.1</v>
      </c>
      <c r="X254" s="8">
        <v>0</v>
      </c>
      <c r="Y254" s="20" t="str">
        <f t="shared" si="18"/>
        <v>Normal</v>
      </c>
      <c r="Z254" s="20">
        <f t="shared" si="19"/>
        <v>-0.30158303712792001</v>
      </c>
      <c r="AA254" s="20">
        <f t="shared" si="20"/>
        <v>-0.45066665745931578</v>
      </c>
      <c r="AB254" s="20">
        <f t="shared" si="21"/>
        <v>0.61830579929580942</v>
      </c>
      <c r="AC254" s="20">
        <f t="shared" si="22"/>
        <v>0.4372046014229018</v>
      </c>
      <c r="AD254" s="20"/>
    </row>
    <row r="255" spans="1:30" x14ac:dyDescent="0.45">
      <c r="A255" s="8" t="s">
        <v>54</v>
      </c>
      <c r="B255" s="8" t="s">
        <v>554</v>
      </c>
      <c r="C255" s="8">
        <v>77.8</v>
      </c>
      <c r="D255" s="8" t="s">
        <v>1010</v>
      </c>
      <c r="E255" s="8" t="s">
        <v>1013</v>
      </c>
      <c r="F255" s="8" t="s">
        <v>1016</v>
      </c>
      <c r="G255" s="8" t="s">
        <v>1023</v>
      </c>
      <c r="H255" s="8">
        <v>83218.95</v>
      </c>
      <c r="I255" s="8">
        <v>798</v>
      </c>
      <c r="J255" s="8">
        <v>0</v>
      </c>
      <c r="K255" s="8">
        <v>1</v>
      </c>
      <c r="L255" s="8">
        <v>1373.31</v>
      </c>
      <c r="M255" s="8">
        <v>14525.12</v>
      </c>
      <c r="N255" s="8">
        <v>49146.52</v>
      </c>
      <c r="O255" s="8" t="str">
        <f t="shared" si="23"/>
        <v>Not Fraud</v>
      </c>
      <c r="P255" s="8">
        <v>0</v>
      </c>
      <c r="Q255" s="8" t="s">
        <v>1025</v>
      </c>
      <c r="R255" s="8" t="s">
        <v>1028</v>
      </c>
      <c r="S255" s="8">
        <v>998</v>
      </c>
      <c r="T255" s="8">
        <v>110</v>
      </c>
      <c r="U255" s="8">
        <v>1110.6199999999999</v>
      </c>
      <c r="V255" s="8">
        <v>2.4</v>
      </c>
      <c r="W255" s="8">
        <v>7.8</v>
      </c>
      <c r="X255" s="8">
        <v>0</v>
      </c>
      <c r="Y255" s="20" t="str">
        <f t="shared" si="18"/>
        <v>Normal</v>
      </c>
      <c r="Z255" s="20">
        <f t="shared" si="19"/>
        <v>-0.30114878219341273</v>
      </c>
      <c r="AA255" s="20">
        <f t="shared" si="20"/>
        <v>-0.26770983717879027</v>
      </c>
      <c r="AB255" s="20">
        <f t="shared" si="21"/>
        <v>-0.57414539835005318</v>
      </c>
      <c r="AC255" s="20">
        <f t="shared" si="22"/>
        <v>-0.30596394071975958</v>
      </c>
      <c r="AD255" s="20"/>
    </row>
    <row r="256" spans="1:30" x14ac:dyDescent="0.45">
      <c r="A256" s="8" t="s">
        <v>228</v>
      </c>
      <c r="B256" s="8" t="s">
        <v>726</v>
      </c>
      <c r="C256" s="8">
        <v>35.9</v>
      </c>
      <c r="D256" s="8" t="s">
        <v>1010</v>
      </c>
      <c r="E256" s="8" t="s">
        <v>1014</v>
      </c>
      <c r="F256" s="8" t="s">
        <v>1016</v>
      </c>
      <c r="G256" s="8" t="s">
        <v>1020</v>
      </c>
      <c r="H256" s="8">
        <v>118096.48</v>
      </c>
      <c r="I256" s="8">
        <v>661</v>
      </c>
      <c r="J256" s="8">
        <v>1</v>
      </c>
      <c r="K256" s="8">
        <v>0</v>
      </c>
      <c r="L256" s="8">
        <v>1382.17</v>
      </c>
      <c r="M256" s="8">
        <v>31816.6</v>
      </c>
      <c r="N256" s="8">
        <v>89049.35</v>
      </c>
      <c r="O256" s="8" t="str">
        <f t="shared" si="23"/>
        <v>Not Fraud</v>
      </c>
      <c r="P256" s="8">
        <v>0</v>
      </c>
      <c r="Q256" s="8" t="s">
        <v>1026</v>
      </c>
      <c r="R256" s="8" t="s">
        <v>1028</v>
      </c>
      <c r="S256" s="8">
        <v>987</v>
      </c>
      <c r="T256" s="8">
        <v>85</v>
      </c>
      <c r="U256" s="8">
        <v>1263.99</v>
      </c>
      <c r="V256" s="8">
        <v>4.5999999999999996</v>
      </c>
      <c r="W256" s="8">
        <v>6.9</v>
      </c>
      <c r="X256" s="8">
        <v>0</v>
      </c>
      <c r="Y256" s="20" t="str">
        <f t="shared" si="18"/>
        <v>Normal</v>
      </c>
      <c r="Z256" s="20">
        <f t="shared" si="19"/>
        <v>-0.29692076162227565</v>
      </c>
      <c r="AA256" s="20">
        <f t="shared" si="20"/>
        <v>0.59522900434477577</v>
      </c>
      <c r="AB256" s="20">
        <f t="shared" si="21"/>
        <v>1.4957302591886061</v>
      </c>
      <c r="AC256" s="20">
        <f t="shared" si="22"/>
        <v>1.1578978323590077</v>
      </c>
      <c r="AD256" s="20"/>
    </row>
    <row r="257" spans="1:30" x14ac:dyDescent="0.45">
      <c r="A257" s="8" t="s">
        <v>500</v>
      </c>
      <c r="B257" s="8" t="s">
        <v>988</v>
      </c>
      <c r="C257" s="8">
        <v>54.7</v>
      </c>
      <c r="D257" s="8" t="s">
        <v>1010</v>
      </c>
      <c r="E257" s="8" t="s">
        <v>1012</v>
      </c>
      <c r="F257" s="8" t="s">
        <v>1018</v>
      </c>
      <c r="G257" s="8" t="s">
        <v>1020</v>
      </c>
      <c r="H257" s="8">
        <v>70204.740000000005</v>
      </c>
      <c r="I257" s="8">
        <v>515</v>
      </c>
      <c r="J257" s="8">
        <v>0</v>
      </c>
      <c r="K257" s="8">
        <v>1</v>
      </c>
      <c r="L257" s="8">
        <v>1389.8</v>
      </c>
      <c r="M257" s="8">
        <v>96908.28</v>
      </c>
      <c r="N257" s="8">
        <v>32946.589999999997</v>
      </c>
      <c r="O257" s="8" t="str">
        <f t="shared" si="23"/>
        <v>Not Fraud</v>
      </c>
      <c r="P257" s="8">
        <v>0</v>
      </c>
      <c r="Q257" s="8" t="s">
        <v>1026</v>
      </c>
      <c r="R257" s="8" t="s">
        <v>1030</v>
      </c>
      <c r="S257" s="8">
        <v>4207</v>
      </c>
      <c r="T257" s="8">
        <v>272</v>
      </c>
      <c r="U257" s="8">
        <v>3867.7</v>
      </c>
      <c r="V257" s="8">
        <v>4</v>
      </c>
      <c r="W257" s="8">
        <v>7.2</v>
      </c>
      <c r="X257" s="8">
        <v>0</v>
      </c>
      <c r="Y257" s="20" t="str">
        <f t="shared" si="18"/>
        <v>Normal</v>
      </c>
      <c r="Z257" s="20">
        <f t="shared" si="19"/>
        <v>-0.29327970101756057</v>
      </c>
      <c r="AA257" s="20">
        <f t="shared" si="20"/>
        <v>3.8436576485107281</v>
      </c>
      <c r="AB257" s="20">
        <f t="shared" si="21"/>
        <v>-1.4144828070208229</v>
      </c>
      <c r="AC257" s="20">
        <f t="shared" si="22"/>
        <v>-0.85218967762886444</v>
      </c>
      <c r="AD257" s="20"/>
    </row>
    <row r="258" spans="1:30" x14ac:dyDescent="0.45">
      <c r="A258" s="8" t="s">
        <v>248</v>
      </c>
      <c r="B258" s="8" t="s">
        <v>746</v>
      </c>
      <c r="C258" s="8">
        <v>66.3</v>
      </c>
      <c r="D258" s="8" t="s">
        <v>1010</v>
      </c>
      <c r="E258" s="8" t="s">
        <v>1012</v>
      </c>
      <c r="F258" s="8" t="s">
        <v>1016</v>
      </c>
      <c r="G258" s="8" t="s">
        <v>1023</v>
      </c>
      <c r="H258" s="8">
        <v>121186.87</v>
      </c>
      <c r="I258" s="8">
        <v>500</v>
      </c>
      <c r="J258" s="8">
        <v>1</v>
      </c>
      <c r="K258" s="8">
        <v>1</v>
      </c>
      <c r="L258" s="8">
        <v>1393.79</v>
      </c>
      <c r="M258" s="8">
        <v>19652.990000000002</v>
      </c>
      <c r="N258" s="8">
        <v>72063.75</v>
      </c>
      <c r="O258" s="8" t="str">
        <f t="shared" si="23"/>
        <v>Fraud</v>
      </c>
      <c r="P258" s="8">
        <v>1</v>
      </c>
      <c r="Q258" s="8" t="s">
        <v>1026</v>
      </c>
      <c r="R258" s="8" t="s">
        <v>1028</v>
      </c>
      <c r="S258" s="8">
        <v>4053</v>
      </c>
      <c r="T258" s="8">
        <v>242</v>
      </c>
      <c r="U258" s="8">
        <v>6461.13</v>
      </c>
      <c r="V258" s="8">
        <v>3.6</v>
      </c>
      <c r="W258" s="8">
        <v>4</v>
      </c>
      <c r="X258" s="8">
        <v>1072.3599999999999</v>
      </c>
      <c r="Y258" s="20" t="str">
        <f t="shared" ref="Y258:Y321" si="24">IF(OR(L258&lt;$AF$10,L258&gt;$AF$11),"Outlier","Normal")</f>
        <v>Normal</v>
      </c>
      <c r="Z258" s="20">
        <f t="shared" ref="Z258:Z321" si="25">(L258-$AK$9)/$AM$9</f>
        <v>-0.29137566015087468</v>
      </c>
      <c r="AA258" s="20">
        <f t="shared" ref="AA258:AA321" si="26">(M258-$AK$6)/$AM$6</f>
        <v>-1.1801251141999317E-2</v>
      </c>
      <c r="AB258" s="20">
        <f t="shared" ref="AB258:AB321" si="27">(N258-$AK$3)/$AM$3</f>
        <v>0.61463786627590655</v>
      </c>
      <c r="AC258" s="20">
        <f t="shared" ref="AC258:AC321" si="28">(H258-$AK$4)/$AM$4</f>
        <v>1.2876060939504934</v>
      </c>
      <c r="AD258" s="20"/>
    </row>
    <row r="259" spans="1:30" x14ac:dyDescent="0.45">
      <c r="A259" s="8" t="s">
        <v>29</v>
      </c>
      <c r="B259" s="8" t="s">
        <v>529</v>
      </c>
      <c r="C259" s="8">
        <v>73.7</v>
      </c>
      <c r="D259" s="8" t="s">
        <v>1010</v>
      </c>
      <c r="E259" s="8" t="s">
        <v>1012</v>
      </c>
      <c r="F259" s="8" t="s">
        <v>1017</v>
      </c>
      <c r="G259" s="8" t="s">
        <v>1023</v>
      </c>
      <c r="H259" s="8">
        <v>73232.87</v>
      </c>
      <c r="I259" s="8">
        <v>661</v>
      </c>
      <c r="J259" s="8">
        <v>0</v>
      </c>
      <c r="K259" s="8">
        <v>1</v>
      </c>
      <c r="L259" s="8">
        <v>1397.83</v>
      </c>
      <c r="M259" s="8">
        <v>10093.98</v>
      </c>
      <c r="N259" s="8">
        <v>70925.679999999993</v>
      </c>
      <c r="O259" s="8" t="str">
        <f t="shared" ref="O259:O322" si="29">IF(P259=1, "Fraud", "Not Fraud")</f>
        <v>Fraud</v>
      </c>
      <c r="P259" s="8">
        <v>1</v>
      </c>
      <c r="Q259" s="8" t="s">
        <v>1027</v>
      </c>
      <c r="R259" s="8" t="s">
        <v>1030</v>
      </c>
      <c r="S259" s="8">
        <v>1905</v>
      </c>
      <c r="T259" s="8">
        <v>177</v>
      </c>
      <c r="U259" s="8">
        <v>5277.92</v>
      </c>
      <c r="V259" s="8">
        <v>3.2</v>
      </c>
      <c r="W259" s="8">
        <v>9</v>
      </c>
      <c r="X259" s="8">
        <v>1248.9100000000001</v>
      </c>
      <c r="Y259" s="20" t="str">
        <f t="shared" si="24"/>
        <v>Normal</v>
      </c>
      <c r="Z259" s="20">
        <f t="shared" si="25"/>
        <v>-0.28944775912295218</v>
      </c>
      <c r="AA259" s="20">
        <f t="shared" si="26"/>
        <v>-0.4888478090718113</v>
      </c>
      <c r="AB259" s="20">
        <f t="shared" si="27"/>
        <v>0.55560287077370696</v>
      </c>
      <c r="AC259" s="20">
        <f t="shared" si="28"/>
        <v>-0.7250945607753202</v>
      </c>
      <c r="AD259" s="20"/>
    </row>
    <row r="260" spans="1:30" x14ac:dyDescent="0.45">
      <c r="A260" s="8" t="s">
        <v>231</v>
      </c>
      <c r="B260" s="8" t="s">
        <v>729</v>
      </c>
      <c r="C260" s="8">
        <v>57.7</v>
      </c>
      <c r="D260" s="8" t="s">
        <v>1010</v>
      </c>
      <c r="E260" s="8" t="s">
        <v>1013</v>
      </c>
      <c r="F260" s="8" t="s">
        <v>1019</v>
      </c>
      <c r="G260" s="8" t="s">
        <v>1021</v>
      </c>
      <c r="H260" s="8">
        <v>101801.79</v>
      </c>
      <c r="I260" s="8">
        <v>642</v>
      </c>
      <c r="J260" s="8">
        <v>0</v>
      </c>
      <c r="K260" s="8">
        <v>1</v>
      </c>
      <c r="L260" s="8">
        <v>1399.22</v>
      </c>
      <c r="M260" s="8">
        <v>13395.55</v>
      </c>
      <c r="N260" s="8">
        <v>72444.14</v>
      </c>
      <c r="O260" s="8" t="str">
        <f t="shared" si="29"/>
        <v>Fraud</v>
      </c>
      <c r="P260" s="8">
        <v>1</v>
      </c>
      <c r="Q260" s="8" t="s">
        <v>1027</v>
      </c>
      <c r="R260" s="8" t="s">
        <v>1028</v>
      </c>
      <c r="S260" s="8">
        <v>1342</v>
      </c>
      <c r="T260" s="8">
        <v>2</v>
      </c>
      <c r="U260" s="8">
        <v>5286.98</v>
      </c>
      <c r="V260" s="8">
        <v>5</v>
      </c>
      <c r="W260" s="8">
        <v>3.6</v>
      </c>
      <c r="X260" s="8">
        <v>1174.4000000000001</v>
      </c>
      <c r="Y260" s="20" t="str">
        <f t="shared" si="24"/>
        <v>Normal</v>
      </c>
      <c r="Z260" s="20">
        <f t="shared" si="25"/>
        <v>-0.28878444664057284</v>
      </c>
      <c r="AA260" s="20">
        <f t="shared" si="26"/>
        <v>-0.32408152006653473</v>
      </c>
      <c r="AB260" s="20">
        <f t="shared" si="27"/>
        <v>0.6343698001104523</v>
      </c>
      <c r="AC260" s="20">
        <f t="shared" si="28"/>
        <v>0.47398547402489222</v>
      </c>
      <c r="AD260" s="20"/>
    </row>
    <row r="261" spans="1:30" x14ac:dyDescent="0.45">
      <c r="A261" s="8" t="s">
        <v>84</v>
      </c>
      <c r="B261" s="8" t="s">
        <v>584</v>
      </c>
      <c r="C261" s="8">
        <v>47.2</v>
      </c>
      <c r="D261" s="8" t="s">
        <v>1009</v>
      </c>
      <c r="E261" s="8" t="s">
        <v>1012</v>
      </c>
      <c r="F261" s="8" t="s">
        <v>1019</v>
      </c>
      <c r="G261" s="8" t="s">
        <v>1023</v>
      </c>
      <c r="H261" s="8">
        <v>86560.1</v>
      </c>
      <c r="I261" s="8">
        <v>558</v>
      </c>
      <c r="J261" s="8">
        <v>0</v>
      </c>
      <c r="K261" s="8">
        <v>1</v>
      </c>
      <c r="L261" s="8">
        <v>1410.62</v>
      </c>
      <c r="M261" s="8">
        <v>19964.05</v>
      </c>
      <c r="N261" s="8">
        <v>52607.79</v>
      </c>
      <c r="O261" s="8" t="str">
        <f t="shared" si="29"/>
        <v>Fraud</v>
      </c>
      <c r="P261" s="8">
        <v>1</v>
      </c>
      <c r="Q261" s="8" t="s">
        <v>1024</v>
      </c>
      <c r="R261" s="8" t="s">
        <v>1028</v>
      </c>
      <c r="S261" s="8">
        <v>818</v>
      </c>
      <c r="T261" s="8">
        <v>165</v>
      </c>
      <c r="U261" s="8">
        <v>1702.27</v>
      </c>
      <c r="V261" s="8">
        <v>3.8</v>
      </c>
      <c r="W261" s="8">
        <v>7.2</v>
      </c>
      <c r="X261" s="8">
        <v>1116.81</v>
      </c>
      <c r="Y261" s="20" t="str">
        <f t="shared" si="24"/>
        <v>Normal</v>
      </c>
      <c r="Z261" s="20">
        <f t="shared" si="25"/>
        <v>-0.28334432987861324</v>
      </c>
      <c r="AA261" s="20">
        <f t="shared" si="26"/>
        <v>3.72233365492486E-3</v>
      </c>
      <c r="AB261" s="20">
        <f t="shared" si="27"/>
        <v>-0.39459927299581538</v>
      </c>
      <c r="AC261" s="20">
        <f t="shared" si="28"/>
        <v>-0.16573090922004799</v>
      </c>
      <c r="AD261" s="20"/>
    </row>
    <row r="262" spans="1:30" x14ac:dyDescent="0.45">
      <c r="A262" s="8" t="s">
        <v>282</v>
      </c>
      <c r="B262" s="8" t="s">
        <v>779</v>
      </c>
      <c r="C262" s="8">
        <v>61.6</v>
      </c>
      <c r="D262" s="8" t="s">
        <v>1009</v>
      </c>
      <c r="E262" s="8" t="s">
        <v>1012</v>
      </c>
      <c r="F262" s="8" t="s">
        <v>1016</v>
      </c>
      <c r="G262" s="8" t="s">
        <v>1022</v>
      </c>
      <c r="H262" s="8">
        <v>85097.73</v>
      </c>
      <c r="I262" s="8">
        <v>602</v>
      </c>
      <c r="J262" s="8">
        <v>0</v>
      </c>
      <c r="K262" s="8">
        <v>0</v>
      </c>
      <c r="L262" s="8">
        <v>1411.01</v>
      </c>
      <c r="M262" s="8">
        <v>20960.98</v>
      </c>
      <c r="N262" s="8">
        <v>64879.06</v>
      </c>
      <c r="O262" s="8" t="str">
        <f t="shared" si="29"/>
        <v>Not Fraud</v>
      </c>
      <c r="P262" s="8">
        <v>0</v>
      </c>
      <c r="Q262" s="8" t="s">
        <v>1027</v>
      </c>
      <c r="R262" s="8" t="s">
        <v>1026</v>
      </c>
      <c r="S262" s="8">
        <v>4258</v>
      </c>
      <c r="T262" s="8">
        <v>21</v>
      </c>
      <c r="U262" s="8">
        <v>4946.63</v>
      </c>
      <c r="V262" s="8">
        <v>2.1</v>
      </c>
      <c r="W262" s="8">
        <v>5.4</v>
      </c>
      <c r="X262" s="8">
        <v>0</v>
      </c>
      <c r="Y262" s="20" t="str">
        <f t="shared" si="24"/>
        <v>Normal</v>
      </c>
      <c r="Z262" s="20">
        <f t="shared" si="25"/>
        <v>-0.28315822062096724</v>
      </c>
      <c r="AA262" s="20">
        <f t="shared" si="26"/>
        <v>5.3474559565031402E-2</v>
      </c>
      <c r="AB262" s="20">
        <f t="shared" si="27"/>
        <v>0.24194713386516195</v>
      </c>
      <c r="AC262" s="20">
        <f t="shared" si="28"/>
        <v>-0.22710875166179231</v>
      </c>
      <c r="AD262" s="20"/>
    </row>
    <row r="263" spans="1:30" x14ac:dyDescent="0.45">
      <c r="A263" s="8" t="s">
        <v>361</v>
      </c>
      <c r="B263" s="8" t="s">
        <v>856</v>
      </c>
      <c r="C263" s="8">
        <v>56.2</v>
      </c>
      <c r="D263" s="8" t="s">
        <v>1009</v>
      </c>
      <c r="E263" s="8" t="s">
        <v>1014</v>
      </c>
      <c r="F263" s="8" t="s">
        <v>1017</v>
      </c>
      <c r="G263" s="8" t="s">
        <v>1023</v>
      </c>
      <c r="H263" s="8">
        <v>89000.23</v>
      </c>
      <c r="I263" s="8">
        <v>760</v>
      </c>
      <c r="J263" s="8">
        <v>0</v>
      </c>
      <c r="K263" s="8">
        <v>0</v>
      </c>
      <c r="L263" s="8">
        <v>1425.58</v>
      </c>
      <c r="M263" s="8">
        <v>8057.87</v>
      </c>
      <c r="N263" s="8">
        <v>74883.839999999997</v>
      </c>
      <c r="O263" s="8" t="str">
        <f t="shared" si="29"/>
        <v>Fraud</v>
      </c>
      <c r="P263" s="8">
        <v>1</v>
      </c>
      <c r="Q263" s="8" t="s">
        <v>1027</v>
      </c>
      <c r="R263" s="8" t="s">
        <v>1030</v>
      </c>
      <c r="S263" s="8">
        <v>4197</v>
      </c>
      <c r="T263" s="8">
        <v>52</v>
      </c>
      <c r="U263" s="8">
        <v>8980</v>
      </c>
      <c r="V263" s="8">
        <v>5.3</v>
      </c>
      <c r="W263" s="8">
        <v>4.5</v>
      </c>
      <c r="X263" s="8">
        <v>751.28</v>
      </c>
      <c r="Y263" s="20" t="str">
        <f t="shared" si="24"/>
        <v>Normal</v>
      </c>
      <c r="Z263" s="20">
        <f t="shared" si="25"/>
        <v>-0.27620536963660303</v>
      </c>
      <c r="AA263" s="20">
        <f t="shared" si="26"/>
        <v>-0.59046076554601412</v>
      </c>
      <c r="AB263" s="20">
        <f t="shared" si="27"/>
        <v>0.76092412324234693</v>
      </c>
      <c r="AC263" s="20">
        <f t="shared" si="28"/>
        <v>-6.331502631943324E-2</v>
      </c>
      <c r="AD263" s="20"/>
    </row>
    <row r="264" spans="1:30" x14ac:dyDescent="0.45">
      <c r="A264" s="8" t="s">
        <v>409</v>
      </c>
      <c r="B264" s="8" t="s">
        <v>552</v>
      </c>
      <c r="C264" s="8">
        <v>55.1</v>
      </c>
      <c r="D264" s="8" t="s">
        <v>1009</v>
      </c>
      <c r="E264" s="8" t="s">
        <v>1015</v>
      </c>
      <c r="F264" s="8" t="s">
        <v>1018</v>
      </c>
      <c r="G264" s="8" t="s">
        <v>1021</v>
      </c>
      <c r="H264" s="8">
        <v>93865.64</v>
      </c>
      <c r="I264" s="8">
        <v>633</v>
      </c>
      <c r="J264" s="8">
        <v>0</v>
      </c>
      <c r="K264" s="8">
        <v>1</v>
      </c>
      <c r="L264" s="8">
        <v>1434.63</v>
      </c>
      <c r="M264" s="8">
        <v>10477.48</v>
      </c>
      <c r="N264" s="8">
        <v>66953.53</v>
      </c>
      <c r="O264" s="8" t="str">
        <f t="shared" si="29"/>
        <v>Not Fraud</v>
      </c>
      <c r="P264" s="8">
        <v>0</v>
      </c>
      <c r="Q264" s="8" t="s">
        <v>1025</v>
      </c>
      <c r="R264" s="8" t="s">
        <v>1029</v>
      </c>
      <c r="S264" s="8">
        <v>3436</v>
      </c>
      <c r="T264" s="8">
        <v>16</v>
      </c>
      <c r="U264" s="8">
        <v>8431.94</v>
      </c>
      <c r="V264" s="8">
        <v>6.4</v>
      </c>
      <c r="W264" s="8">
        <v>6.1</v>
      </c>
      <c r="X264" s="8">
        <v>0</v>
      </c>
      <c r="Y264" s="20" t="str">
        <f t="shared" si="24"/>
        <v>Normal</v>
      </c>
      <c r="Z264" s="20">
        <f t="shared" si="25"/>
        <v>-0.27188668045276654</v>
      </c>
      <c r="AA264" s="20">
        <f t="shared" si="26"/>
        <v>-0.46970907452021204</v>
      </c>
      <c r="AB264" s="20">
        <f t="shared" si="27"/>
        <v>0.34955591638244765</v>
      </c>
      <c r="AC264" s="20">
        <f t="shared" si="28"/>
        <v>0.14089346291002683</v>
      </c>
      <c r="AD264" s="20"/>
    </row>
    <row r="265" spans="1:30" x14ac:dyDescent="0.45">
      <c r="A265" s="8" t="s">
        <v>381</v>
      </c>
      <c r="B265" s="8" t="s">
        <v>875</v>
      </c>
      <c r="C265" s="8">
        <v>54.8</v>
      </c>
      <c r="D265" s="8" t="s">
        <v>1010</v>
      </c>
      <c r="E265" s="8" t="s">
        <v>1014</v>
      </c>
      <c r="F265" s="8" t="s">
        <v>1019</v>
      </c>
      <c r="G265" s="8" t="s">
        <v>1021</v>
      </c>
      <c r="H265" s="8">
        <v>130181.53</v>
      </c>
      <c r="I265" s="8">
        <v>517</v>
      </c>
      <c r="J265" s="8">
        <v>1</v>
      </c>
      <c r="K265" s="8">
        <v>0</v>
      </c>
      <c r="L265" s="8">
        <v>1435.95</v>
      </c>
      <c r="M265" s="8">
        <v>22646.89</v>
      </c>
      <c r="N265" s="8">
        <v>99528.81</v>
      </c>
      <c r="O265" s="8" t="str">
        <f t="shared" si="29"/>
        <v>Not Fraud</v>
      </c>
      <c r="P265" s="8">
        <v>0</v>
      </c>
      <c r="Q265" s="8" t="s">
        <v>1027</v>
      </c>
      <c r="R265" s="8" t="s">
        <v>1029</v>
      </c>
      <c r="S265" s="8">
        <v>1725</v>
      </c>
      <c r="T265" s="8">
        <v>197</v>
      </c>
      <c r="U265" s="8">
        <v>3104.19</v>
      </c>
      <c r="V265" s="8">
        <v>8.4</v>
      </c>
      <c r="W265" s="8">
        <v>5.6</v>
      </c>
      <c r="X265" s="8">
        <v>0</v>
      </c>
      <c r="Y265" s="20" t="str">
        <f t="shared" si="24"/>
        <v>Normal</v>
      </c>
      <c r="Z265" s="20">
        <f t="shared" si="25"/>
        <v>-0.27125677219611866</v>
      </c>
      <c r="AA265" s="20">
        <f t="shared" si="26"/>
        <v>0.13761063249302805</v>
      </c>
      <c r="AB265" s="20">
        <f t="shared" si="27"/>
        <v>2.0393302784892438</v>
      </c>
      <c r="AC265" s="20">
        <f t="shared" si="28"/>
        <v>1.6651253430441266</v>
      </c>
      <c r="AD265" s="20"/>
    </row>
    <row r="266" spans="1:30" x14ac:dyDescent="0.45">
      <c r="A266" s="8" t="s">
        <v>285</v>
      </c>
      <c r="B266" s="8" t="s">
        <v>782</v>
      </c>
      <c r="C266" s="8">
        <v>18</v>
      </c>
      <c r="D266" s="8" t="s">
        <v>1009</v>
      </c>
      <c r="E266" s="8" t="s">
        <v>1014</v>
      </c>
      <c r="F266" s="8" t="s">
        <v>1016</v>
      </c>
      <c r="G266" s="8" t="s">
        <v>1023</v>
      </c>
      <c r="H266" s="8">
        <v>52424.3</v>
      </c>
      <c r="I266" s="8">
        <v>593</v>
      </c>
      <c r="J266" s="8">
        <v>0</v>
      </c>
      <c r="K266" s="8">
        <v>0</v>
      </c>
      <c r="L266" s="8">
        <v>1441.11</v>
      </c>
      <c r="M266" s="8">
        <v>53987.64</v>
      </c>
      <c r="N266" s="8">
        <v>27981.919999999998</v>
      </c>
      <c r="O266" s="8" t="str">
        <f t="shared" si="29"/>
        <v>Fraud</v>
      </c>
      <c r="P266" s="8">
        <v>1</v>
      </c>
      <c r="Q266" s="8" t="s">
        <v>1026</v>
      </c>
      <c r="R266" s="8" t="s">
        <v>1029</v>
      </c>
      <c r="S266" s="8">
        <v>4501</v>
      </c>
      <c r="T266" s="8">
        <v>171</v>
      </c>
      <c r="U266" s="8">
        <v>9450.2199999999993</v>
      </c>
      <c r="V266" s="8">
        <v>4.8</v>
      </c>
      <c r="W266" s="8">
        <v>7.8</v>
      </c>
      <c r="X266" s="8">
        <v>1095.26</v>
      </c>
      <c r="Y266" s="20" t="str">
        <f t="shared" si="24"/>
        <v>Normal</v>
      </c>
      <c r="Z266" s="20">
        <f t="shared" si="25"/>
        <v>-0.26879440355649487</v>
      </c>
      <c r="AA266" s="20">
        <f t="shared" si="26"/>
        <v>1.7016844131919449</v>
      </c>
      <c r="AB266" s="20">
        <f t="shared" si="27"/>
        <v>-1.6720146557822377</v>
      </c>
      <c r="AC266" s="20">
        <f t="shared" si="28"/>
        <v>-1.598461171754757</v>
      </c>
      <c r="AD266" s="20"/>
    </row>
    <row r="267" spans="1:30" x14ac:dyDescent="0.45">
      <c r="A267" s="8" t="s">
        <v>149</v>
      </c>
      <c r="B267" s="8" t="s">
        <v>647</v>
      </c>
      <c r="C267" s="8">
        <v>35.1</v>
      </c>
      <c r="D267" s="8" t="s">
        <v>1010</v>
      </c>
      <c r="E267" s="8" t="s">
        <v>1014</v>
      </c>
      <c r="F267" s="8" t="s">
        <v>1016</v>
      </c>
      <c r="G267" s="8" t="s">
        <v>1022</v>
      </c>
      <c r="H267" s="8">
        <v>65076.79</v>
      </c>
      <c r="I267" s="8">
        <v>643</v>
      </c>
      <c r="J267" s="8">
        <v>0</v>
      </c>
      <c r="K267" s="8">
        <v>0</v>
      </c>
      <c r="L267" s="8">
        <v>1456.6</v>
      </c>
      <c r="M267" s="8">
        <v>10579.41</v>
      </c>
      <c r="N267" s="8">
        <v>27848.799999999999</v>
      </c>
      <c r="O267" s="8" t="str">
        <f t="shared" si="29"/>
        <v>Not Fraud</v>
      </c>
      <c r="P267" s="8">
        <v>0</v>
      </c>
      <c r="Q267" s="8" t="s">
        <v>1026</v>
      </c>
      <c r="R267" s="8" t="s">
        <v>1030</v>
      </c>
      <c r="S267" s="8">
        <v>3132</v>
      </c>
      <c r="T267" s="8">
        <v>2</v>
      </c>
      <c r="U267" s="8">
        <v>8155.39</v>
      </c>
      <c r="V267" s="8">
        <v>0.8</v>
      </c>
      <c r="W267" s="8">
        <v>8.5</v>
      </c>
      <c r="X267" s="8">
        <v>0</v>
      </c>
      <c r="Y267" s="20" t="str">
        <f t="shared" si="24"/>
        <v>Normal</v>
      </c>
      <c r="Z267" s="20">
        <f t="shared" si="25"/>
        <v>-0.26140252560537597</v>
      </c>
      <c r="AA267" s="20">
        <f t="shared" si="26"/>
        <v>-0.46462221346977001</v>
      </c>
      <c r="AB267" s="20">
        <f t="shared" si="27"/>
        <v>-1.6789199767214178</v>
      </c>
      <c r="AC267" s="20">
        <f t="shared" si="28"/>
        <v>-1.0674173608753348</v>
      </c>
      <c r="AD267" s="20"/>
    </row>
    <row r="268" spans="1:30" x14ac:dyDescent="0.45">
      <c r="A268" s="8" t="s">
        <v>96</v>
      </c>
      <c r="B268" s="8" t="s">
        <v>596</v>
      </c>
      <c r="C268" s="8">
        <v>73.5</v>
      </c>
      <c r="D268" s="8" t="s">
        <v>1009</v>
      </c>
      <c r="E268" s="8" t="s">
        <v>1012</v>
      </c>
      <c r="F268" s="8" t="s">
        <v>1016</v>
      </c>
      <c r="G268" s="8" t="s">
        <v>1021</v>
      </c>
      <c r="H268" s="8">
        <v>156346.04</v>
      </c>
      <c r="I268" s="8">
        <v>631</v>
      </c>
      <c r="J268" s="8">
        <v>1</v>
      </c>
      <c r="K268" s="8">
        <v>0</v>
      </c>
      <c r="L268" s="8">
        <v>1459.69</v>
      </c>
      <c r="M268" s="8">
        <v>18544.98</v>
      </c>
      <c r="N268" s="8">
        <v>122754.97</v>
      </c>
      <c r="O268" s="8" t="str">
        <f t="shared" si="29"/>
        <v>Fraud</v>
      </c>
      <c r="P268" s="8">
        <v>1</v>
      </c>
      <c r="Q268" s="8" t="s">
        <v>1026</v>
      </c>
      <c r="R268" s="8" t="s">
        <v>1029</v>
      </c>
      <c r="S268" s="8">
        <v>1933</v>
      </c>
      <c r="T268" s="8">
        <v>74</v>
      </c>
      <c r="U268" s="8">
        <v>2653.85</v>
      </c>
      <c r="V268" s="8">
        <v>7</v>
      </c>
      <c r="W268" s="8">
        <v>2</v>
      </c>
      <c r="X268" s="8">
        <v>1397.24</v>
      </c>
      <c r="Y268" s="20" t="str">
        <f t="shared" si="24"/>
        <v>Normal</v>
      </c>
      <c r="Z268" s="20">
        <f t="shared" si="25"/>
        <v>-0.25992796764095</v>
      </c>
      <c r="AA268" s="20">
        <f t="shared" si="26"/>
        <v>-6.7096972838264088E-2</v>
      </c>
      <c r="AB268" s="20">
        <f t="shared" si="27"/>
        <v>3.2441386392520792</v>
      </c>
      <c r="AC268" s="20">
        <f t="shared" si="28"/>
        <v>2.7632887164348787</v>
      </c>
      <c r="AD268" s="20"/>
    </row>
    <row r="269" spans="1:30" x14ac:dyDescent="0.45">
      <c r="A269" s="8" t="s">
        <v>241</v>
      </c>
      <c r="B269" s="8" t="s">
        <v>739</v>
      </c>
      <c r="C269" s="8">
        <v>42.7</v>
      </c>
      <c r="D269" s="8" t="s">
        <v>1009</v>
      </c>
      <c r="E269" s="8" t="s">
        <v>1014</v>
      </c>
      <c r="F269" s="8" t="s">
        <v>1016</v>
      </c>
      <c r="G269" s="8" t="s">
        <v>1022</v>
      </c>
      <c r="H269" s="8">
        <v>63076.3</v>
      </c>
      <c r="I269" s="8">
        <v>782</v>
      </c>
      <c r="J269" s="8">
        <v>1</v>
      </c>
      <c r="K269" s="8">
        <v>1</v>
      </c>
      <c r="L269" s="8">
        <v>1461.14</v>
      </c>
      <c r="M269" s="8">
        <v>26530.97</v>
      </c>
      <c r="N269" s="8">
        <v>42606.74</v>
      </c>
      <c r="O269" s="8" t="str">
        <f t="shared" si="29"/>
        <v>Not Fraud</v>
      </c>
      <c r="P269" s="8">
        <v>0</v>
      </c>
      <c r="Q269" s="8" t="s">
        <v>1026</v>
      </c>
      <c r="R269" s="8" t="s">
        <v>1029</v>
      </c>
      <c r="S269" s="8">
        <v>2907</v>
      </c>
      <c r="T269" s="8">
        <v>7</v>
      </c>
      <c r="U269" s="8">
        <v>6805.58</v>
      </c>
      <c r="V269" s="8">
        <v>0.5</v>
      </c>
      <c r="W269" s="8">
        <v>5.5</v>
      </c>
      <c r="X269" s="8">
        <v>0</v>
      </c>
      <c r="Y269" s="20" t="str">
        <f t="shared" si="24"/>
        <v>Normal</v>
      </c>
      <c r="Z269" s="20">
        <f t="shared" si="25"/>
        <v>-0.25923602296508669</v>
      </c>
      <c r="AA269" s="20">
        <f t="shared" si="26"/>
        <v>0.33144733678814065</v>
      </c>
      <c r="AB269" s="20">
        <f t="shared" si="27"/>
        <v>-0.91338277644223786</v>
      </c>
      <c r="AC269" s="20">
        <f t="shared" si="28"/>
        <v>-1.1513808995326407</v>
      </c>
      <c r="AD269" s="20"/>
    </row>
    <row r="270" spans="1:30" x14ac:dyDescent="0.45">
      <c r="A270" s="8" t="s">
        <v>410</v>
      </c>
      <c r="B270" s="8" t="s">
        <v>599</v>
      </c>
      <c r="C270" s="8">
        <v>78.099999999999994</v>
      </c>
      <c r="D270" s="8" t="s">
        <v>1009</v>
      </c>
      <c r="E270" s="8" t="s">
        <v>1014</v>
      </c>
      <c r="F270" s="8" t="s">
        <v>1016</v>
      </c>
      <c r="G270" s="8" t="s">
        <v>1022</v>
      </c>
      <c r="H270" s="8">
        <v>69056.75</v>
      </c>
      <c r="I270" s="8">
        <v>580</v>
      </c>
      <c r="J270" s="8">
        <v>1</v>
      </c>
      <c r="K270" s="8">
        <v>0</v>
      </c>
      <c r="L270" s="8">
        <v>1497.35</v>
      </c>
      <c r="M270" s="8">
        <v>43497.98</v>
      </c>
      <c r="N270" s="8">
        <v>50255.43</v>
      </c>
      <c r="O270" s="8" t="str">
        <f t="shared" si="29"/>
        <v>Fraud</v>
      </c>
      <c r="P270" s="8">
        <v>1</v>
      </c>
      <c r="Q270" s="8" t="s">
        <v>1024</v>
      </c>
      <c r="R270" s="8" t="s">
        <v>1028</v>
      </c>
      <c r="S270" s="8">
        <v>1188</v>
      </c>
      <c r="T270" s="8">
        <v>242</v>
      </c>
      <c r="U270" s="8">
        <v>3994.23</v>
      </c>
      <c r="V270" s="8">
        <v>5.4</v>
      </c>
      <c r="W270" s="8">
        <v>6.1</v>
      </c>
      <c r="X270" s="8">
        <v>1163.96</v>
      </c>
      <c r="Y270" s="20" t="str">
        <f t="shared" si="24"/>
        <v>Normal</v>
      </c>
      <c r="Z270" s="20">
        <f t="shared" si="25"/>
        <v>-0.2419564941974939</v>
      </c>
      <c r="AA270" s="20">
        <f t="shared" si="26"/>
        <v>1.1781933616234217</v>
      </c>
      <c r="AB270" s="20">
        <f t="shared" si="27"/>
        <v>-0.51662301671944699</v>
      </c>
      <c r="AC270" s="20">
        <f t="shared" si="28"/>
        <v>-0.90037252420305425</v>
      </c>
      <c r="AD270" s="20"/>
    </row>
    <row r="271" spans="1:30" x14ac:dyDescent="0.45">
      <c r="A271" s="8" t="s">
        <v>134</v>
      </c>
      <c r="B271" s="8" t="s">
        <v>632</v>
      </c>
      <c r="C271" s="8">
        <v>49.6</v>
      </c>
      <c r="D271" s="8" t="s">
        <v>1009</v>
      </c>
      <c r="E271" s="8" t="s">
        <v>1012</v>
      </c>
      <c r="F271" s="8" t="s">
        <v>1016</v>
      </c>
      <c r="G271" s="8" t="s">
        <v>1021</v>
      </c>
      <c r="H271" s="8">
        <v>123601.08</v>
      </c>
      <c r="I271" s="8">
        <v>656</v>
      </c>
      <c r="J271" s="8">
        <v>1</v>
      </c>
      <c r="K271" s="8">
        <v>1</v>
      </c>
      <c r="L271" s="8">
        <v>1523.09</v>
      </c>
      <c r="M271" s="8">
        <v>2715.12</v>
      </c>
      <c r="N271" s="8">
        <v>81403</v>
      </c>
      <c r="O271" s="8" t="str">
        <f t="shared" si="29"/>
        <v>Not Fraud</v>
      </c>
      <c r="P271" s="8">
        <v>0</v>
      </c>
      <c r="Q271" s="8" t="s">
        <v>1027</v>
      </c>
      <c r="R271" s="8" t="s">
        <v>1030</v>
      </c>
      <c r="S271" s="8">
        <v>359</v>
      </c>
      <c r="T271" s="8">
        <v>57</v>
      </c>
      <c r="U271" s="8">
        <v>5169.28</v>
      </c>
      <c r="V271" s="8">
        <v>2.7</v>
      </c>
      <c r="W271" s="8">
        <v>3.7</v>
      </c>
      <c r="X271" s="8">
        <v>0</v>
      </c>
      <c r="Y271" s="20" t="str">
        <f t="shared" si="24"/>
        <v>Normal</v>
      </c>
      <c r="Z271" s="20">
        <f t="shared" si="25"/>
        <v>-0.22967328319285871</v>
      </c>
      <c r="AA271" s="20">
        <f t="shared" si="26"/>
        <v>-0.85709303158397232</v>
      </c>
      <c r="AB271" s="20">
        <f t="shared" si="27"/>
        <v>1.0990918820604492</v>
      </c>
      <c r="AC271" s="20">
        <f t="shared" si="28"/>
        <v>1.3889340759258368</v>
      </c>
      <c r="AD271" s="20"/>
    </row>
    <row r="272" spans="1:30" x14ac:dyDescent="0.45">
      <c r="A272" s="8" t="s">
        <v>64</v>
      </c>
      <c r="B272" s="8" t="s">
        <v>564</v>
      </c>
      <c r="C272" s="8">
        <v>52.6</v>
      </c>
      <c r="D272" s="8" t="s">
        <v>1009</v>
      </c>
      <c r="E272" s="8" t="s">
        <v>1012</v>
      </c>
      <c r="F272" s="8" t="s">
        <v>1016</v>
      </c>
      <c r="G272" s="8" t="s">
        <v>1021</v>
      </c>
      <c r="H272" s="8">
        <v>79326.13</v>
      </c>
      <c r="I272" s="8">
        <v>670</v>
      </c>
      <c r="J272" s="8">
        <v>0</v>
      </c>
      <c r="K272" s="8">
        <v>1</v>
      </c>
      <c r="L272" s="8">
        <v>1530.57</v>
      </c>
      <c r="M272" s="8">
        <v>33681.800000000003</v>
      </c>
      <c r="N272" s="8">
        <v>41612.31</v>
      </c>
      <c r="O272" s="8" t="str">
        <f t="shared" si="29"/>
        <v>Not Fraud</v>
      </c>
      <c r="P272" s="8">
        <v>0</v>
      </c>
      <c r="Q272" s="8" t="s">
        <v>1027</v>
      </c>
      <c r="R272" s="8" t="s">
        <v>1026</v>
      </c>
      <c r="S272" s="8">
        <v>72</v>
      </c>
      <c r="T272" s="8">
        <v>274</v>
      </c>
      <c r="U272" s="8">
        <v>7267.7</v>
      </c>
      <c r="V272" s="8">
        <v>4.5</v>
      </c>
      <c r="W272" s="8">
        <v>1.6</v>
      </c>
      <c r="X272" s="8">
        <v>0</v>
      </c>
      <c r="Y272" s="20" t="str">
        <f t="shared" si="24"/>
        <v>Normal</v>
      </c>
      <c r="Z272" s="20">
        <f t="shared" si="25"/>
        <v>-0.2261038030718536</v>
      </c>
      <c r="AA272" s="20">
        <f t="shared" si="26"/>
        <v>0.68831262282102879</v>
      </c>
      <c r="AB272" s="20">
        <f t="shared" si="27"/>
        <v>-0.96496674805844074</v>
      </c>
      <c r="AC272" s="20">
        <f t="shared" si="28"/>
        <v>-0.46935138207459393</v>
      </c>
      <c r="AD272" s="20"/>
    </row>
    <row r="273" spans="1:30" x14ac:dyDescent="0.45">
      <c r="A273" s="8" t="s">
        <v>287</v>
      </c>
      <c r="B273" s="8" t="s">
        <v>783</v>
      </c>
      <c r="C273" s="8">
        <v>46.2</v>
      </c>
      <c r="D273" s="8" t="s">
        <v>1009</v>
      </c>
      <c r="E273" s="8" t="s">
        <v>1012</v>
      </c>
      <c r="F273" s="8" t="s">
        <v>1016</v>
      </c>
      <c r="G273" s="8" t="s">
        <v>1020</v>
      </c>
      <c r="H273" s="8">
        <v>88169.18</v>
      </c>
      <c r="I273" s="8">
        <v>641</v>
      </c>
      <c r="J273" s="8">
        <v>0</v>
      </c>
      <c r="K273" s="8">
        <v>1</v>
      </c>
      <c r="L273" s="8">
        <v>1534.4</v>
      </c>
      <c r="M273" s="8">
        <v>3339.61</v>
      </c>
      <c r="N273" s="8">
        <v>57934.9</v>
      </c>
      <c r="O273" s="8" t="str">
        <f t="shared" si="29"/>
        <v>Fraud</v>
      </c>
      <c r="P273" s="8">
        <v>1</v>
      </c>
      <c r="Q273" s="8" t="s">
        <v>1025</v>
      </c>
      <c r="R273" s="8" t="s">
        <v>1030</v>
      </c>
      <c r="S273" s="8">
        <v>4396</v>
      </c>
      <c r="T273" s="8">
        <v>113</v>
      </c>
      <c r="U273" s="8">
        <v>5716.43</v>
      </c>
      <c r="V273" s="8">
        <v>3.2</v>
      </c>
      <c r="W273" s="8">
        <v>6.3</v>
      </c>
      <c r="X273" s="8">
        <v>832.99</v>
      </c>
      <c r="Y273" s="20" t="str">
        <f t="shared" si="24"/>
        <v>Normal</v>
      </c>
      <c r="Z273" s="20">
        <f t="shared" si="25"/>
        <v>-0.22427611472112496</v>
      </c>
      <c r="AA273" s="20">
        <f t="shared" si="26"/>
        <v>-0.82592758610775785</v>
      </c>
      <c r="AB273" s="20">
        <f t="shared" si="27"/>
        <v>-0.1182666090210856</v>
      </c>
      <c r="AC273" s="20">
        <f t="shared" si="28"/>
        <v>-9.8195430021103439E-2</v>
      </c>
      <c r="AD273" s="20"/>
    </row>
    <row r="274" spans="1:30" x14ac:dyDescent="0.45">
      <c r="A274" s="8" t="s">
        <v>213</v>
      </c>
      <c r="B274" s="8" t="s">
        <v>711</v>
      </c>
      <c r="C274" s="8">
        <v>43.3</v>
      </c>
      <c r="D274" s="8" t="s">
        <v>1009</v>
      </c>
      <c r="E274" s="8" t="s">
        <v>1015</v>
      </c>
      <c r="F274" s="8" t="s">
        <v>1018</v>
      </c>
      <c r="G274" s="8" t="s">
        <v>1022</v>
      </c>
      <c r="H274" s="8">
        <v>116958.86</v>
      </c>
      <c r="I274" s="8">
        <v>591</v>
      </c>
      <c r="J274" s="8">
        <v>0</v>
      </c>
      <c r="K274" s="8">
        <v>1</v>
      </c>
      <c r="L274" s="8">
        <v>1542.57</v>
      </c>
      <c r="M274" s="8">
        <v>18017.240000000002</v>
      </c>
      <c r="N274" s="8">
        <v>47646.96</v>
      </c>
      <c r="O274" s="8" t="str">
        <f t="shared" si="29"/>
        <v>Fraud</v>
      </c>
      <c r="P274" s="8">
        <v>1</v>
      </c>
      <c r="Q274" s="8" t="s">
        <v>1027</v>
      </c>
      <c r="R274" s="8" t="s">
        <v>1029</v>
      </c>
      <c r="S274" s="8">
        <v>2229</v>
      </c>
      <c r="T274" s="8">
        <v>113</v>
      </c>
      <c r="U274" s="8">
        <v>5870.6</v>
      </c>
      <c r="V274" s="8">
        <v>3.5</v>
      </c>
      <c r="W274" s="8">
        <v>9.5</v>
      </c>
      <c r="X274" s="8">
        <v>779.4</v>
      </c>
      <c r="Y274" s="20" t="str">
        <f t="shared" si="24"/>
        <v>Normal</v>
      </c>
      <c r="Z274" s="20">
        <f t="shared" si="25"/>
        <v>-0.22037736437505395</v>
      </c>
      <c r="AA274" s="20">
        <f t="shared" si="26"/>
        <v>-9.3434067420430852E-2</v>
      </c>
      <c r="AB274" s="20">
        <f t="shared" si="27"/>
        <v>-0.65193192980706183</v>
      </c>
      <c r="AC274" s="20">
        <f t="shared" si="28"/>
        <v>1.1101502300978996</v>
      </c>
      <c r="AD274" s="20"/>
    </row>
    <row r="275" spans="1:30" x14ac:dyDescent="0.45">
      <c r="A275" s="8" t="s">
        <v>367</v>
      </c>
      <c r="B275" s="8" t="s">
        <v>862</v>
      </c>
      <c r="C275" s="8">
        <v>42.9</v>
      </c>
      <c r="D275" s="8" t="s">
        <v>1009</v>
      </c>
      <c r="E275" s="8" t="s">
        <v>1012</v>
      </c>
      <c r="F275" s="8" t="s">
        <v>1017</v>
      </c>
      <c r="G275" s="8" t="s">
        <v>1022</v>
      </c>
      <c r="H275" s="8">
        <v>41531.94</v>
      </c>
      <c r="I275" s="8">
        <v>712</v>
      </c>
      <c r="J275" s="8">
        <v>0</v>
      </c>
      <c r="K275" s="8">
        <v>0</v>
      </c>
      <c r="L275" s="8">
        <v>1551.59</v>
      </c>
      <c r="M275" s="8">
        <v>32429.81</v>
      </c>
      <c r="N275" s="8">
        <v>22669.200000000001</v>
      </c>
      <c r="O275" s="8" t="str">
        <f t="shared" si="29"/>
        <v>Fraud</v>
      </c>
      <c r="P275" s="8">
        <v>1</v>
      </c>
      <c r="Q275" s="8" t="s">
        <v>1026</v>
      </c>
      <c r="R275" s="8" t="s">
        <v>1026</v>
      </c>
      <c r="S275" s="8">
        <v>3429</v>
      </c>
      <c r="T275" s="8">
        <v>120</v>
      </c>
      <c r="U275" s="8">
        <v>2347.71</v>
      </c>
      <c r="V275" s="8">
        <v>5.4</v>
      </c>
      <c r="W275" s="8">
        <v>3.1</v>
      </c>
      <c r="X275" s="8">
        <v>1161.19</v>
      </c>
      <c r="Y275" s="20" t="str">
        <f t="shared" si="24"/>
        <v>Normal</v>
      </c>
      <c r="Z275" s="20">
        <f t="shared" si="25"/>
        <v>-0.21607299128795956</v>
      </c>
      <c r="AA275" s="20">
        <f t="shared" si="26"/>
        <v>0.62583151650745172</v>
      </c>
      <c r="AB275" s="20">
        <f t="shared" si="27"/>
        <v>-1.9476008686728716</v>
      </c>
      <c r="AC275" s="20">
        <f t="shared" si="28"/>
        <v>-2.0556297104274277</v>
      </c>
      <c r="AD275" s="20"/>
    </row>
    <row r="276" spans="1:30" x14ac:dyDescent="0.45">
      <c r="A276" s="8" t="s">
        <v>386</v>
      </c>
      <c r="B276" s="8" t="s">
        <v>880</v>
      </c>
      <c r="C276" s="8">
        <v>56</v>
      </c>
      <c r="D276" s="8" t="s">
        <v>1010</v>
      </c>
      <c r="E276" s="8" t="s">
        <v>1011</v>
      </c>
      <c r="F276" s="8" t="s">
        <v>1016</v>
      </c>
      <c r="G276" s="8" t="s">
        <v>1023</v>
      </c>
      <c r="H276" s="8">
        <v>46128.52</v>
      </c>
      <c r="I276" s="8">
        <v>591</v>
      </c>
      <c r="J276" s="8">
        <v>0</v>
      </c>
      <c r="K276" s="8">
        <v>1</v>
      </c>
      <c r="L276" s="8">
        <v>1554</v>
      </c>
      <c r="M276" s="8">
        <v>25279.06</v>
      </c>
      <c r="N276" s="8">
        <v>33393.730000000003</v>
      </c>
      <c r="O276" s="8" t="str">
        <f t="shared" si="29"/>
        <v>Fraud</v>
      </c>
      <c r="P276" s="8">
        <v>1</v>
      </c>
      <c r="Q276" s="8" t="s">
        <v>1027</v>
      </c>
      <c r="R276" s="8" t="s">
        <v>1026</v>
      </c>
      <c r="S276" s="8">
        <v>3295</v>
      </c>
      <c r="T276" s="8">
        <v>39</v>
      </c>
      <c r="U276" s="8">
        <v>6601.04</v>
      </c>
      <c r="V276" s="8">
        <v>4.9000000000000004</v>
      </c>
      <c r="W276" s="8">
        <v>5.9</v>
      </c>
      <c r="X276" s="8">
        <v>1225.3599999999999</v>
      </c>
      <c r="Y276" s="20" t="str">
        <f t="shared" si="24"/>
        <v>Normal</v>
      </c>
      <c r="Z276" s="20">
        <f t="shared" si="25"/>
        <v>-0.21492293151635228</v>
      </c>
      <c r="AA276" s="20">
        <f t="shared" si="26"/>
        <v>0.26897022290941153</v>
      </c>
      <c r="AB276" s="20">
        <f t="shared" si="27"/>
        <v>-1.3912883568649854</v>
      </c>
      <c r="AC276" s="20">
        <f t="shared" si="28"/>
        <v>-1.8627044158638968</v>
      </c>
      <c r="AD276" s="20"/>
    </row>
    <row r="277" spans="1:30" x14ac:dyDescent="0.45">
      <c r="A277" s="8" t="s">
        <v>226</v>
      </c>
      <c r="B277" s="8" t="s">
        <v>724</v>
      </c>
      <c r="C277" s="8">
        <v>65.8</v>
      </c>
      <c r="D277" s="8" t="s">
        <v>1010</v>
      </c>
      <c r="E277" s="8" t="s">
        <v>1012</v>
      </c>
      <c r="F277" s="8" t="s">
        <v>1016</v>
      </c>
      <c r="G277" s="8" t="s">
        <v>1021</v>
      </c>
      <c r="H277" s="8">
        <v>83999.679999999993</v>
      </c>
      <c r="I277" s="8">
        <v>748</v>
      </c>
      <c r="J277" s="8">
        <v>0</v>
      </c>
      <c r="K277" s="8">
        <v>1</v>
      </c>
      <c r="L277" s="8">
        <v>1561.84</v>
      </c>
      <c r="M277" s="8">
        <v>23745.8</v>
      </c>
      <c r="N277" s="8">
        <v>57044.39</v>
      </c>
      <c r="O277" s="8" t="str">
        <f t="shared" si="29"/>
        <v>Fraud</v>
      </c>
      <c r="P277" s="8">
        <v>1</v>
      </c>
      <c r="Q277" s="8" t="s">
        <v>1025</v>
      </c>
      <c r="R277" s="8" t="s">
        <v>1029</v>
      </c>
      <c r="S277" s="8">
        <v>2254</v>
      </c>
      <c r="T277" s="8">
        <v>168</v>
      </c>
      <c r="U277" s="8">
        <v>3929.9</v>
      </c>
      <c r="V277" s="8">
        <v>6.3</v>
      </c>
      <c r="W277" s="8">
        <v>5.3</v>
      </c>
      <c r="X277" s="8">
        <v>1124.6199999999999</v>
      </c>
      <c r="Y277" s="20" t="str">
        <f t="shared" si="24"/>
        <v>Normal</v>
      </c>
      <c r="Z277" s="20">
        <f t="shared" si="25"/>
        <v>-0.21118165823444321</v>
      </c>
      <c r="AA277" s="20">
        <f t="shared" si="26"/>
        <v>0.19245221472535645</v>
      </c>
      <c r="AB277" s="20">
        <f t="shared" si="27"/>
        <v>-0.16445994848584924</v>
      </c>
      <c r="AC277" s="20">
        <f t="shared" si="28"/>
        <v>-0.27319554220943559</v>
      </c>
      <c r="AD277" s="20"/>
    </row>
    <row r="278" spans="1:30" x14ac:dyDescent="0.45">
      <c r="A278" s="8" t="s">
        <v>136</v>
      </c>
      <c r="B278" s="8" t="s">
        <v>634</v>
      </c>
      <c r="C278" s="8">
        <v>86.9</v>
      </c>
      <c r="D278" s="8" t="s">
        <v>1009</v>
      </c>
      <c r="E278" s="8" t="s">
        <v>1011</v>
      </c>
      <c r="F278" s="8" t="s">
        <v>1016</v>
      </c>
      <c r="G278" s="8" t="s">
        <v>1022</v>
      </c>
      <c r="H278" s="8">
        <v>68166.100000000006</v>
      </c>
      <c r="I278" s="8">
        <v>551</v>
      </c>
      <c r="J278" s="8">
        <v>0</v>
      </c>
      <c r="K278" s="8">
        <v>1</v>
      </c>
      <c r="L278" s="8">
        <v>1565.88</v>
      </c>
      <c r="M278" s="8">
        <v>14619.54</v>
      </c>
      <c r="N278" s="8">
        <v>42362.51</v>
      </c>
      <c r="O278" s="8" t="str">
        <f t="shared" si="29"/>
        <v>Not Fraud</v>
      </c>
      <c r="P278" s="8">
        <v>0</v>
      </c>
      <c r="Q278" s="8" t="s">
        <v>1026</v>
      </c>
      <c r="R278" s="8" t="s">
        <v>1028</v>
      </c>
      <c r="S278" s="8">
        <v>1185</v>
      </c>
      <c r="T278" s="8">
        <v>56</v>
      </c>
      <c r="U278" s="8">
        <v>5802.54</v>
      </c>
      <c r="V278" s="8">
        <v>5.0999999999999996</v>
      </c>
      <c r="W278" s="8">
        <v>5.7</v>
      </c>
      <c r="X278" s="8">
        <v>0</v>
      </c>
      <c r="Y278" s="20" t="str">
        <f t="shared" si="24"/>
        <v>Normal</v>
      </c>
      <c r="Z278" s="20">
        <f t="shared" si="25"/>
        <v>-0.20925375720652059</v>
      </c>
      <c r="AA278" s="20">
        <f t="shared" si="26"/>
        <v>-0.26299776594968466</v>
      </c>
      <c r="AB278" s="20">
        <f t="shared" si="27"/>
        <v>-0.92605169571038637</v>
      </c>
      <c r="AC278" s="20">
        <f t="shared" si="28"/>
        <v>-0.93775442848906865</v>
      </c>
      <c r="AD278" s="20"/>
    </row>
    <row r="279" spans="1:30" x14ac:dyDescent="0.45">
      <c r="A279" s="8" t="s">
        <v>312</v>
      </c>
      <c r="B279" s="8" t="s">
        <v>808</v>
      </c>
      <c r="C279" s="8">
        <v>40.700000000000003</v>
      </c>
      <c r="D279" s="8" t="s">
        <v>1009</v>
      </c>
      <c r="E279" s="8" t="s">
        <v>1013</v>
      </c>
      <c r="F279" s="8" t="s">
        <v>1019</v>
      </c>
      <c r="G279" s="8" t="s">
        <v>1021</v>
      </c>
      <c r="H279" s="8">
        <v>84952.53</v>
      </c>
      <c r="I279" s="8">
        <v>712</v>
      </c>
      <c r="J279" s="8">
        <v>0</v>
      </c>
      <c r="K279" s="8">
        <v>1</v>
      </c>
      <c r="L279" s="8">
        <v>1571</v>
      </c>
      <c r="M279" s="8">
        <v>4706.6099999999997</v>
      </c>
      <c r="N279" s="8">
        <v>63035.16</v>
      </c>
      <c r="O279" s="8" t="str">
        <f t="shared" si="29"/>
        <v>Fraud</v>
      </c>
      <c r="P279" s="8">
        <v>1</v>
      </c>
      <c r="Q279" s="8" t="s">
        <v>1024</v>
      </c>
      <c r="R279" s="8" t="s">
        <v>1028</v>
      </c>
      <c r="S279" s="8">
        <v>3820</v>
      </c>
      <c r="T279" s="8">
        <v>293</v>
      </c>
      <c r="U279" s="8">
        <v>6094.2</v>
      </c>
      <c r="V279" s="8">
        <v>2</v>
      </c>
      <c r="W279" s="8">
        <v>5.3</v>
      </c>
      <c r="X279" s="8">
        <v>1339.58</v>
      </c>
      <c r="Y279" s="20" t="str">
        <f t="shared" si="24"/>
        <v>Normal</v>
      </c>
      <c r="Z279" s="20">
        <f t="shared" si="25"/>
        <v>-0.20681047669588612</v>
      </c>
      <c r="AA279" s="20">
        <f t="shared" si="26"/>
        <v>-0.75770685564612505</v>
      </c>
      <c r="AB279" s="20">
        <f t="shared" si="27"/>
        <v>0.14629868675162336</v>
      </c>
      <c r="AC279" s="20">
        <f t="shared" si="28"/>
        <v>-0.23320301147465844</v>
      </c>
      <c r="AD279" s="20"/>
    </row>
    <row r="280" spans="1:30" x14ac:dyDescent="0.45">
      <c r="A280" s="8" t="s">
        <v>477</v>
      </c>
      <c r="B280" s="8" t="s">
        <v>966</v>
      </c>
      <c r="C280" s="8">
        <v>42</v>
      </c>
      <c r="D280" s="8" t="s">
        <v>1010</v>
      </c>
      <c r="E280" s="8" t="s">
        <v>1014</v>
      </c>
      <c r="F280" s="8" t="s">
        <v>1019</v>
      </c>
      <c r="G280" s="8" t="s">
        <v>1023</v>
      </c>
      <c r="H280" s="8">
        <v>123422.97</v>
      </c>
      <c r="I280" s="8">
        <v>690</v>
      </c>
      <c r="J280" s="8">
        <v>0</v>
      </c>
      <c r="K280" s="8">
        <v>1</v>
      </c>
      <c r="L280" s="8">
        <v>1571.08</v>
      </c>
      <c r="M280" s="8">
        <v>724.78</v>
      </c>
      <c r="N280" s="8">
        <v>60141.26</v>
      </c>
      <c r="O280" s="8" t="str">
        <f t="shared" si="29"/>
        <v>Fraud</v>
      </c>
      <c r="P280" s="8">
        <v>1</v>
      </c>
      <c r="Q280" s="8" t="s">
        <v>1026</v>
      </c>
      <c r="R280" s="8" t="s">
        <v>1030</v>
      </c>
      <c r="S280" s="8">
        <v>633</v>
      </c>
      <c r="T280" s="8">
        <v>8</v>
      </c>
      <c r="U280" s="8">
        <v>9514.91</v>
      </c>
      <c r="V280" s="8">
        <v>6.7</v>
      </c>
      <c r="W280" s="8">
        <v>9.5</v>
      </c>
      <c r="X280" s="8">
        <v>1057.68</v>
      </c>
      <c r="Y280" s="20" t="str">
        <f t="shared" si="24"/>
        <v>Normal</v>
      </c>
      <c r="Z280" s="20">
        <f t="shared" si="25"/>
        <v>-0.20677230043790751</v>
      </c>
      <c r="AA280" s="20">
        <f t="shared" si="26"/>
        <v>-0.95642181627088252</v>
      </c>
      <c r="AB280" s="20">
        <f t="shared" si="27"/>
        <v>-3.8163092361581503E-3</v>
      </c>
      <c r="AC280" s="20">
        <f t="shared" si="28"/>
        <v>1.3814585344983601</v>
      </c>
      <c r="AD280" s="20"/>
    </row>
    <row r="281" spans="1:30" x14ac:dyDescent="0.45">
      <c r="A281" s="8" t="s">
        <v>348</v>
      </c>
      <c r="B281" s="8" t="s">
        <v>843</v>
      </c>
      <c r="C281" s="8">
        <v>31.8</v>
      </c>
      <c r="D281" s="8" t="s">
        <v>1010</v>
      </c>
      <c r="E281" s="8" t="s">
        <v>1012</v>
      </c>
      <c r="F281" s="8" t="s">
        <v>1016</v>
      </c>
      <c r="G281" s="8" t="s">
        <v>1022</v>
      </c>
      <c r="H281" s="8">
        <v>113437.03</v>
      </c>
      <c r="I281" s="8">
        <v>686</v>
      </c>
      <c r="J281" s="8">
        <v>1</v>
      </c>
      <c r="K281" s="8">
        <v>0</v>
      </c>
      <c r="L281" s="8">
        <v>1574.15</v>
      </c>
      <c r="M281" s="8">
        <v>2308.52</v>
      </c>
      <c r="N281" s="8">
        <v>59985.83</v>
      </c>
      <c r="O281" s="8" t="str">
        <f t="shared" si="29"/>
        <v>Fraud</v>
      </c>
      <c r="P281" s="8">
        <v>1</v>
      </c>
      <c r="Q281" s="8" t="s">
        <v>1025</v>
      </c>
      <c r="R281" s="8" t="s">
        <v>1026</v>
      </c>
      <c r="S281" s="8">
        <v>1439</v>
      </c>
      <c r="T281" s="8">
        <v>198</v>
      </c>
      <c r="U281" s="8">
        <v>1722.27</v>
      </c>
      <c r="V281" s="8">
        <v>1.6</v>
      </c>
      <c r="W281" s="8">
        <v>6.6</v>
      </c>
      <c r="X281" s="8">
        <v>1311.48</v>
      </c>
      <c r="Y281" s="20" t="str">
        <f t="shared" si="24"/>
        <v>Normal</v>
      </c>
      <c r="Z281" s="20">
        <f t="shared" si="25"/>
        <v>-0.2053072865379762</v>
      </c>
      <c r="AA281" s="20">
        <f t="shared" si="26"/>
        <v>-0.87738458169787126</v>
      </c>
      <c r="AB281" s="20">
        <f t="shared" si="27"/>
        <v>-1.1878914656656754E-2</v>
      </c>
      <c r="AC281" s="20">
        <f t="shared" si="28"/>
        <v>0.96233379045088352</v>
      </c>
      <c r="AD281" s="20"/>
    </row>
    <row r="282" spans="1:30" x14ac:dyDescent="0.45">
      <c r="A282" s="8" t="s">
        <v>253</v>
      </c>
      <c r="B282" s="8" t="s">
        <v>751</v>
      </c>
      <c r="C282" s="8">
        <v>39</v>
      </c>
      <c r="D282" s="8" t="s">
        <v>1010</v>
      </c>
      <c r="E282" s="8" t="s">
        <v>1015</v>
      </c>
      <c r="F282" s="8" t="s">
        <v>1016</v>
      </c>
      <c r="G282" s="8" t="s">
        <v>1021</v>
      </c>
      <c r="H282" s="8">
        <v>113798.39999999999</v>
      </c>
      <c r="I282" s="8">
        <v>681</v>
      </c>
      <c r="J282" s="8">
        <v>0</v>
      </c>
      <c r="K282" s="8">
        <v>0</v>
      </c>
      <c r="L282" s="8">
        <v>1580.41</v>
      </c>
      <c r="M282" s="8">
        <v>4370.4399999999996</v>
      </c>
      <c r="N282" s="8">
        <v>74816.490000000005</v>
      </c>
      <c r="O282" s="8" t="str">
        <f t="shared" si="29"/>
        <v>Not Fraud</v>
      </c>
      <c r="P282" s="8">
        <v>0</v>
      </c>
      <c r="Q282" s="8" t="s">
        <v>1026</v>
      </c>
      <c r="R282" s="8" t="s">
        <v>1026</v>
      </c>
      <c r="S282" s="8">
        <v>1014</v>
      </c>
      <c r="T282" s="8">
        <v>11</v>
      </c>
      <c r="U282" s="8">
        <v>5714.21</v>
      </c>
      <c r="V282" s="8">
        <v>1.9</v>
      </c>
      <c r="W282" s="8">
        <v>5.5</v>
      </c>
      <c r="X282" s="8">
        <v>0</v>
      </c>
      <c r="Y282" s="20" t="str">
        <f t="shared" si="24"/>
        <v>Normal</v>
      </c>
      <c r="Z282" s="20">
        <f t="shared" si="25"/>
        <v>-0.20231999435114573</v>
      </c>
      <c r="AA282" s="20">
        <f t="shared" si="26"/>
        <v>-0.77448356593089984</v>
      </c>
      <c r="AB282" s="20">
        <f t="shared" si="27"/>
        <v>0.75743048317884243</v>
      </c>
      <c r="AC282" s="20">
        <f t="shared" si="28"/>
        <v>0.9775010264603563</v>
      </c>
      <c r="AD282" s="20"/>
    </row>
    <row r="283" spans="1:30" x14ac:dyDescent="0.45">
      <c r="A283" s="8" t="s">
        <v>252</v>
      </c>
      <c r="B283" s="8" t="s">
        <v>750</v>
      </c>
      <c r="C283" s="8">
        <v>60.2</v>
      </c>
      <c r="D283" s="8" t="s">
        <v>1010</v>
      </c>
      <c r="E283" s="8" t="s">
        <v>1012</v>
      </c>
      <c r="F283" s="8" t="s">
        <v>1019</v>
      </c>
      <c r="G283" s="8" t="s">
        <v>1020</v>
      </c>
      <c r="H283" s="8">
        <v>69858.429999999993</v>
      </c>
      <c r="I283" s="8">
        <v>553</v>
      </c>
      <c r="J283" s="8">
        <v>0</v>
      </c>
      <c r="K283" s="8">
        <v>1</v>
      </c>
      <c r="L283" s="8">
        <v>1583.35</v>
      </c>
      <c r="M283" s="8">
        <v>45378.11</v>
      </c>
      <c r="N283" s="8">
        <v>39956.25</v>
      </c>
      <c r="O283" s="8" t="str">
        <f t="shared" si="29"/>
        <v>Not Fraud</v>
      </c>
      <c r="P283" s="8">
        <v>0</v>
      </c>
      <c r="Q283" s="8" t="s">
        <v>1025</v>
      </c>
      <c r="R283" s="8" t="s">
        <v>1030</v>
      </c>
      <c r="S283" s="8">
        <v>1755</v>
      </c>
      <c r="T283" s="8">
        <v>80</v>
      </c>
      <c r="U283" s="8">
        <v>1361.06</v>
      </c>
      <c r="V283" s="8">
        <v>0.9</v>
      </c>
      <c r="W283" s="8">
        <v>4.8</v>
      </c>
      <c r="X283" s="8">
        <v>0</v>
      </c>
      <c r="Y283" s="20" t="str">
        <f t="shared" si="24"/>
        <v>Normal</v>
      </c>
      <c r="Z283" s="20">
        <f t="shared" si="25"/>
        <v>-0.2009170168704299</v>
      </c>
      <c r="AA283" s="20">
        <f t="shared" si="26"/>
        <v>1.2720220682531433</v>
      </c>
      <c r="AB283" s="20">
        <f t="shared" si="27"/>
        <v>-1.050871388942896</v>
      </c>
      <c r="AC283" s="20">
        <f t="shared" si="28"/>
        <v>-0.86672482305444143</v>
      </c>
      <c r="AD283" s="20"/>
    </row>
    <row r="284" spans="1:30" x14ac:dyDescent="0.45">
      <c r="A284" s="8" t="s">
        <v>508</v>
      </c>
      <c r="B284" s="8" t="s">
        <v>996</v>
      </c>
      <c r="C284" s="8">
        <v>28.7</v>
      </c>
      <c r="D284" s="8" t="s">
        <v>1009</v>
      </c>
      <c r="E284" s="8" t="s">
        <v>1014</v>
      </c>
      <c r="F284" s="8" t="s">
        <v>1019</v>
      </c>
      <c r="G284" s="8" t="s">
        <v>1020</v>
      </c>
      <c r="H284" s="8">
        <v>133150.94</v>
      </c>
      <c r="I284" s="8">
        <v>660</v>
      </c>
      <c r="J284" s="8">
        <v>1</v>
      </c>
      <c r="K284" s="8">
        <v>1</v>
      </c>
      <c r="L284" s="8">
        <v>1594.4</v>
      </c>
      <c r="M284" s="8">
        <v>34170.720000000001</v>
      </c>
      <c r="N284" s="8">
        <v>84716.23</v>
      </c>
      <c r="O284" s="8" t="str">
        <f t="shared" si="29"/>
        <v>Not Fraud</v>
      </c>
      <c r="P284" s="8">
        <v>0</v>
      </c>
      <c r="Q284" s="8" t="s">
        <v>1024</v>
      </c>
      <c r="R284" s="8" t="s">
        <v>1030</v>
      </c>
      <c r="S284" s="8">
        <v>3510</v>
      </c>
      <c r="T284" s="8">
        <v>144</v>
      </c>
      <c r="U284" s="8">
        <v>1263.1600000000001</v>
      </c>
      <c r="V284" s="8">
        <v>3</v>
      </c>
      <c r="W284" s="8">
        <v>3.6</v>
      </c>
      <c r="X284" s="8">
        <v>0</v>
      </c>
      <c r="Y284" s="20" t="str">
        <f t="shared" si="24"/>
        <v>Normal</v>
      </c>
      <c r="Z284" s="20">
        <f t="shared" si="25"/>
        <v>-0.19564392123712682</v>
      </c>
      <c r="AA284" s="20">
        <f t="shared" si="26"/>
        <v>0.71271238839330486</v>
      </c>
      <c r="AB284" s="20">
        <f t="shared" si="27"/>
        <v>1.2709587427524551</v>
      </c>
      <c r="AC284" s="20">
        <f t="shared" si="28"/>
        <v>1.7897558942212837</v>
      </c>
      <c r="AD284" s="20"/>
    </row>
    <row r="285" spans="1:30" x14ac:dyDescent="0.45">
      <c r="A285" s="8" t="s">
        <v>490</v>
      </c>
      <c r="B285" s="8" t="s">
        <v>979</v>
      </c>
      <c r="C285" s="8">
        <v>61.4</v>
      </c>
      <c r="D285" s="8" t="s">
        <v>1009</v>
      </c>
      <c r="E285" s="8" t="s">
        <v>1013</v>
      </c>
      <c r="F285" s="8" t="s">
        <v>1016</v>
      </c>
      <c r="G285" s="8" t="s">
        <v>1023</v>
      </c>
      <c r="H285" s="8">
        <v>114840.13</v>
      </c>
      <c r="I285" s="8">
        <v>623</v>
      </c>
      <c r="J285" s="8">
        <v>0</v>
      </c>
      <c r="K285" s="8">
        <v>0</v>
      </c>
      <c r="L285" s="8">
        <v>1596.47</v>
      </c>
      <c r="M285" s="8">
        <v>40203.629999999997</v>
      </c>
      <c r="N285" s="8">
        <v>72340.12</v>
      </c>
      <c r="O285" s="8" t="str">
        <f t="shared" si="29"/>
        <v>Fraud</v>
      </c>
      <c r="P285" s="8">
        <v>1</v>
      </c>
      <c r="Q285" s="8" t="s">
        <v>1024</v>
      </c>
      <c r="R285" s="8" t="s">
        <v>1026</v>
      </c>
      <c r="S285" s="8">
        <v>1129</v>
      </c>
      <c r="T285" s="8">
        <v>136</v>
      </c>
      <c r="U285" s="8">
        <v>5614.46</v>
      </c>
      <c r="V285" s="8">
        <v>7.1</v>
      </c>
      <c r="W285" s="8">
        <v>5.3</v>
      </c>
      <c r="X285" s="8">
        <v>1117.5</v>
      </c>
      <c r="Y285" s="20" t="str">
        <f t="shared" si="24"/>
        <v>Normal</v>
      </c>
      <c r="Z285" s="20">
        <f t="shared" si="25"/>
        <v>-0.19465611056192891</v>
      </c>
      <c r="AA285" s="20">
        <f t="shared" si="26"/>
        <v>1.013787389863158</v>
      </c>
      <c r="AB285" s="20">
        <f t="shared" si="27"/>
        <v>0.62897398066864385</v>
      </c>
      <c r="AC285" s="20">
        <f t="shared" si="28"/>
        <v>1.0212239828987668</v>
      </c>
      <c r="AD285" s="20"/>
    </row>
    <row r="286" spans="1:30" x14ac:dyDescent="0.45">
      <c r="A286" s="8" t="s">
        <v>313</v>
      </c>
      <c r="B286" s="8" t="s">
        <v>809</v>
      </c>
      <c r="C286" s="8">
        <v>46.9</v>
      </c>
      <c r="D286" s="8" t="s">
        <v>1009</v>
      </c>
      <c r="E286" s="8" t="s">
        <v>1011</v>
      </c>
      <c r="F286" s="8" t="s">
        <v>1019</v>
      </c>
      <c r="G286" s="8" t="s">
        <v>1020</v>
      </c>
      <c r="H286" s="8">
        <v>58168.82</v>
      </c>
      <c r="I286" s="8">
        <v>570</v>
      </c>
      <c r="J286" s="8">
        <v>0</v>
      </c>
      <c r="K286" s="8">
        <v>1</v>
      </c>
      <c r="L286" s="8">
        <v>1604.64</v>
      </c>
      <c r="M286" s="8">
        <v>75067.100000000006</v>
      </c>
      <c r="N286" s="8">
        <v>43297.14</v>
      </c>
      <c r="O286" s="8" t="str">
        <f t="shared" si="29"/>
        <v>Not Fraud</v>
      </c>
      <c r="P286" s="8">
        <v>0</v>
      </c>
      <c r="Q286" s="8" t="s">
        <v>1026</v>
      </c>
      <c r="R286" s="8" t="s">
        <v>1028</v>
      </c>
      <c r="S286" s="8">
        <v>1675</v>
      </c>
      <c r="T286" s="8">
        <v>285</v>
      </c>
      <c r="U286" s="8">
        <v>7692.11</v>
      </c>
      <c r="V286" s="8">
        <v>4.5999999999999996</v>
      </c>
      <c r="W286" s="8">
        <v>4.5</v>
      </c>
      <c r="X286" s="8">
        <v>0</v>
      </c>
      <c r="Y286" s="20" t="str">
        <f t="shared" si="24"/>
        <v>Normal</v>
      </c>
      <c r="Z286" s="20">
        <f t="shared" si="25"/>
        <v>-0.19075736021585779</v>
      </c>
      <c r="AA286" s="20">
        <f t="shared" si="26"/>
        <v>2.7536640466497144</v>
      </c>
      <c r="AB286" s="20">
        <f t="shared" si="27"/>
        <v>-0.877569723734831</v>
      </c>
      <c r="AC286" s="20">
        <f t="shared" si="28"/>
        <v>-1.3573551291913519</v>
      </c>
      <c r="AD286" s="20"/>
    </row>
    <row r="287" spans="1:30" x14ac:dyDescent="0.45">
      <c r="A287" s="8" t="s">
        <v>467</v>
      </c>
      <c r="B287" s="8" t="s">
        <v>956</v>
      </c>
      <c r="C287" s="8">
        <v>30.4</v>
      </c>
      <c r="D287" s="8" t="s">
        <v>1009</v>
      </c>
      <c r="E287" s="8" t="s">
        <v>1012</v>
      </c>
      <c r="F287" s="8" t="s">
        <v>1019</v>
      </c>
      <c r="G287" s="8" t="s">
        <v>1020</v>
      </c>
      <c r="H287" s="8">
        <v>118182.49</v>
      </c>
      <c r="I287" s="8">
        <v>563</v>
      </c>
      <c r="J287" s="8">
        <v>1</v>
      </c>
      <c r="K287" s="8">
        <v>1</v>
      </c>
      <c r="L287" s="8">
        <v>1615.32</v>
      </c>
      <c r="M287" s="8">
        <v>25749.200000000001</v>
      </c>
      <c r="N287" s="8">
        <v>73910.759999999995</v>
      </c>
      <c r="O287" s="8" t="str">
        <f t="shared" si="29"/>
        <v>Not Fraud</v>
      </c>
      <c r="P287" s="8">
        <v>0</v>
      </c>
      <c r="Q287" s="8" t="s">
        <v>1027</v>
      </c>
      <c r="R287" s="8" t="s">
        <v>1030</v>
      </c>
      <c r="S287" s="8">
        <v>2667</v>
      </c>
      <c r="T287" s="8">
        <v>125</v>
      </c>
      <c r="U287" s="8">
        <v>2416.37</v>
      </c>
      <c r="V287" s="8">
        <v>4.0999999999999996</v>
      </c>
      <c r="W287" s="8">
        <v>6.6</v>
      </c>
      <c r="X287" s="8">
        <v>0</v>
      </c>
      <c r="Y287" s="20" t="str">
        <f t="shared" si="24"/>
        <v>Normal</v>
      </c>
      <c r="Z287" s="20">
        <f t="shared" si="25"/>
        <v>-0.18566082977570619</v>
      </c>
      <c r="AA287" s="20">
        <f t="shared" si="26"/>
        <v>0.29243276440116867</v>
      </c>
      <c r="AB287" s="20">
        <f t="shared" si="27"/>
        <v>0.71044763811992029</v>
      </c>
      <c r="AC287" s="20">
        <f t="shared" si="28"/>
        <v>1.1615077998969188</v>
      </c>
      <c r="AD287" s="20"/>
    </row>
    <row r="288" spans="1:30" x14ac:dyDescent="0.45">
      <c r="A288" s="8" t="s">
        <v>411</v>
      </c>
      <c r="B288" s="8" t="s">
        <v>901</v>
      </c>
      <c r="C288" s="8">
        <v>64.3</v>
      </c>
      <c r="D288" s="8" t="s">
        <v>1010</v>
      </c>
      <c r="E288" s="8" t="s">
        <v>1013</v>
      </c>
      <c r="F288" s="8" t="s">
        <v>1019</v>
      </c>
      <c r="G288" s="8" t="s">
        <v>1022</v>
      </c>
      <c r="H288" s="8">
        <v>73834.23</v>
      </c>
      <c r="I288" s="8">
        <v>721</v>
      </c>
      <c r="J288" s="8">
        <v>1</v>
      </c>
      <c r="K288" s="8">
        <v>1</v>
      </c>
      <c r="L288" s="8">
        <v>1649.22</v>
      </c>
      <c r="M288" s="8">
        <v>966.94</v>
      </c>
      <c r="N288" s="8">
        <v>46485.84</v>
      </c>
      <c r="O288" s="8" t="str">
        <f t="shared" si="29"/>
        <v>Fraud</v>
      </c>
      <c r="P288" s="8">
        <v>1</v>
      </c>
      <c r="Q288" s="8" t="s">
        <v>1027</v>
      </c>
      <c r="R288" s="8" t="s">
        <v>1030</v>
      </c>
      <c r="S288" s="8">
        <v>3159</v>
      </c>
      <c r="T288" s="8">
        <v>226</v>
      </c>
      <c r="U288" s="8">
        <v>5226.04</v>
      </c>
      <c r="V288" s="8">
        <v>4</v>
      </c>
      <c r="W288" s="8">
        <v>8.1</v>
      </c>
      <c r="X288" s="8">
        <v>890.86</v>
      </c>
      <c r="Y288" s="20" t="str">
        <f t="shared" si="24"/>
        <v>Normal</v>
      </c>
      <c r="Z288" s="20">
        <f t="shared" si="25"/>
        <v>-0.16948364045724718</v>
      </c>
      <c r="AA288" s="20">
        <f t="shared" si="26"/>
        <v>-0.9443367159866185</v>
      </c>
      <c r="AB288" s="20">
        <f t="shared" si="27"/>
        <v>-0.71216259573931007</v>
      </c>
      <c r="AC288" s="20">
        <f t="shared" si="28"/>
        <v>-0.69985458776522902</v>
      </c>
      <c r="AD288" s="20"/>
    </row>
    <row r="289" spans="1:30" x14ac:dyDescent="0.45">
      <c r="A289" s="8" t="s">
        <v>516</v>
      </c>
      <c r="B289" s="8" t="s">
        <v>1002</v>
      </c>
      <c r="C289" s="8">
        <v>37.1</v>
      </c>
      <c r="D289" s="8" t="s">
        <v>1009</v>
      </c>
      <c r="E289" s="8" t="s">
        <v>1014</v>
      </c>
      <c r="F289" s="8" t="s">
        <v>1019</v>
      </c>
      <c r="G289" s="8" t="s">
        <v>1023</v>
      </c>
      <c r="H289" s="8">
        <v>53462.35</v>
      </c>
      <c r="I289" s="8">
        <v>573</v>
      </c>
      <c r="J289" s="8">
        <v>0</v>
      </c>
      <c r="K289" s="8">
        <v>0</v>
      </c>
      <c r="L289" s="8">
        <v>1654.07</v>
      </c>
      <c r="M289" s="8">
        <v>4143.54</v>
      </c>
      <c r="N289" s="8">
        <v>33479.050000000003</v>
      </c>
      <c r="O289" s="8" t="str">
        <f t="shared" si="29"/>
        <v>Fraud</v>
      </c>
      <c r="P289" s="8">
        <v>1</v>
      </c>
      <c r="Q289" s="8" t="s">
        <v>1024</v>
      </c>
      <c r="R289" s="8" t="s">
        <v>1026</v>
      </c>
      <c r="S289" s="8">
        <v>2678</v>
      </c>
      <c r="T289" s="8">
        <v>268</v>
      </c>
      <c r="U289" s="8">
        <v>5953.59</v>
      </c>
      <c r="V289" s="8">
        <v>3.8</v>
      </c>
      <c r="W289" s="8">
        <v>6.6</v>
      </c>
      <c r="X289" s="8">
        <v>1443.78</v>
      </c>
      <c r="Y289" s="20" t="str">
        <f t="shared" si="24"/>
        <v>Normal</v>
      </c>
      <c r="Z289" s="20">
        <f t="shared" si="25"/>
        <v>-0.16716920481729072</v>
      </c>
      <c r="AA289" s="20">
        <f t="shared" si="26"/>
        <v>-0.78580710926794772</v>
      </c>
      <c r="AB289" s="20">
        <f t="shared" si="27"/>
        <v>-1.3868625607221756</v>
      </c>
      <c r="AC289" s="20">
        <f t="shared" si="28"/>
        <v>-1.5548926703859842</v>
      </c>
      <c r="AD289" s="20"/>
    </row>
    <row r="290" spans="1:30" x14ac:dyDescent="0.45">
      <c r="A290" s="8" t="s">
        <v>328</v>
      </c>
      <c r="B290" s="8" t="s">
        <v>824</v>
      </c>
      <c r="C290" s="8">
        <v>51.8</v>
      </c>
      <c r="D290" s="8" t="s">
        <v>1010</v>
      </c>
      <c r="E290" s="8" t="s">
        <v>1013</v>
      </c>
      <c r="F290" s="8" t="s">
        <v>1016</v>
      </c>
      <c r="G290" s="8" t="s">
        <v>1020</v>
      </c>
      <c r="H290" s="8">
        <v>110958.1</v>
      </c>
      <c r="I290" s="8">
        <v>796</v>
      </c>
      <c r="J290" s="8">
        <v>0</v>
      </c>
      <c r="K290" s="8">
        <v>1</v>
      </c>
      <c r="L290" s="8">
        <v>1659.02</v>
      </c>
      <c r="M290" s="8">
        <v>7484.85</v>
      </c>
      <c r="N290" s="8">
        <v>71771.070000000007</v>
      </c>
      <c r="O290" s="8" t="str">
        <f t="shared" si="29"/>
        <v>Not Fraud</v>
      </c>
      <c r="P290" s="8">
        <v>0</v>
      </c>
      <c r="Q290" s="8" t="s">
        <v>1025</v>
      </c>
      <c r="R290" s="8" t="s">
        <v>1029</v>
      </c>
      <c r="S290" s="8">
        <v>3953</v>
      </c>
      <c r="T290" s="8">
        <v>282</v>
      </c>
      <c r="U290" s="8">
        <v>7284.55</v>
      </c>
      <c r="V290" s="8">
        <v>5.0999999999999996</v>
      </c>
      <c r="W290" s="8">
        <v>4</v>
      </c>
      <c r="X290" s="8">
        <v>0</v>
      </c>
      <c r="Y290" s="20" t="str">
        <f t="shared" si="24"/>
        <v>Normal</v>
      </c>
      <c r="Z290" s="20">
        <f t="shared" si="25"/>
        <v>-0.16480704885486083</v>
      </c>
      <c r="AA290" s="20">
        <f t="shared" si="26"/>
        <v>-0.61905757825203078</v>
      </c>
      <c r="AB290" s="20">
        <f t="shared" si="27"/>
        <v>0.59945570482398947</v>
      </c>
      <c r="AC290" s="20">
        <f t="shared" si="28"/>
        <v>0.85828941388126578</v>
      </c>
      <c r="AD290" s="20"/>
    </row>
    <row r="291" spans="1:30" x14ac:dyDescent="0.45">
      <c r="A291" s="8" t="s">
        <v>121</v>
      </c>
      <c r="B291" s="8" t="s">
        <v>586</v>
      </c>
      <c r="C291" s="8">
        <v>50.1</v>
      </c>
      <c r="D291" s="8" t="s">
        <v>1009</v>
      </c>
      <c r="E291" s="8" t="s">
        <v>1012</v>
      </c>
      <c r="F291" s="8" t="s">
        <v>1017</v>
      </c>
      <c r="G291" s="8" t="s">
        <v>1023</v>
      </c>
      <c r="H291" s="8">
        <v>107353.39</v>
      </c>
      <c r="I291" s="8">
        <v>709</v>
      </c>
      <c r="J291" s="8">
        <v>0</v>
      </c>
      <c r="K291" s="8">
        <v>0</v>
      </c>
      <c r="L291" s="8">
        <v>1668.74</v>
      </c>
      <c r="M291" s="8">
        <v>64273.3</v>
      </c>
      <c r="N291" s="8">
        <v>47465.66</v>
      </c>
      <c r="O291" s="8" t="str">
        <f t="shared" si="29"/>
        <v>Not Fraud</v>
      </c>
      <c r="P291" s="8">
        <v>0</v>
      </c>
      <c r="Q291" s="8" t="s">
        <v>1026</v>
      </c>
      <c r="R291" s="8" t="s">
        <v>1030</v>
      </c>
      <c r="S291" s="8">
        <v>2493</v>
      </c>
      <c r="T291" s="8">
        <v>64</v>
      </c>
      <c r="U291" s="8">
        <v>5674.66</v>
      </c>
      <c r="V291" s="8">
        <v>3.9</v>
      </c>
      <c r="W291" s="8">
        <v>4.5</v>
      </c>
      <c r="X291" s="8">
        <v>0</v>
      </c>
      <c r="Y291" s="20" t="str">
        <f t="shared" si="24"/>
        <v>Normal</v>
      </c>
      <c r="Z291" s="20">
        <f t="shared" si="25"/>
        <v>-0.16016863351045313</v>
      </c>
      <c r="AA291" s="20">
        <f t="shared" si="26"/>
        <v>2.2149947558986005</v>
      </c>
      <c r="AB291" s="20">
        <f t="shared" si="27"/>
        <v>-0.66133648724601413</v>
      </c>
      <c r="AC291" s="20">
        <f t="shared" si="28"/>
        <v>0.70699437744850313</v>
      </c>
      <c r="AD291" s="20"/>
    </row>
    <row r="292" spans="1:30" x14ac:dyDescent="0.45">
      <c r="A292" s="8" t="s">
        <v>221</v>
      </c>
      <c r="B292" s="8" t="s">
        <v>719</v>
      </c>
      <c r="C292" s="8">
        <v>50.9</v>
      </c>
      <c r="D292" s="8" t="s">
        <v>1010</v>
      </c>
      <c r="E292" s="8" t="s">
        <v>1011</v>
      </c>
      <c r="F292" s="8" t="s">
        <v>1016</v>
      </c>
      <c r="G292" s="8" t="s">
        <v>1020</v>
      </c>
      <c r="H292" s="8">
        <v>60326.09</v>
      </c>
      <c r="I292" s="8">
        <v>493</v>
      </c>
      <c r="J292" s="8">
        <v>1</v>
      </c>
      <c r="K292" s="8">
        <v>0</v>
      </c>
      <c r="L292" s="8">
        <v>1673.38</v>
      </c>
      <c r="M292" s="8">
        <v>510.44</v>
      </c>
      <c r="N292" s="8">
        <v>31122.9</v>
      </c>
      <c r="O292" s="8" t="str">
        <f t="shared" si="29"/>
        <v>Fraud</v>
      </c>
      <c r="P292" s="8">
        <v>1</v>
      </c>
      <c r="Q292" s="8" t="s">
        <v>1024</v>
      </c>
      <c r="R292" s="8" t="s">
        <v>1028</v>
      </c>
      <c r="S292" s="8">
        <v>2798</v>
      </c>
      <c r="T292" s="8">
        <v>154</v>
      </c>
      <c r="U292" s="8">
        <v>5571.76</v>
      </c>
      <c r="V292" s="8">
        <v>4.3</v>
      </c>
      <c r="W292" s="8">
        <v>6.3</v>
      </c>
      <c r="X292" s="8">
        <v>849.71</v>
      </c>
      <c r="Y292" s="20" t="str">
        <f t="shared" si="24"/>
        <v>Normal</v>
      </c>
      <c r="Z292" s="20">
        <f t="shared" si="25"/>
        <v>-0.15795441054769055</v>
      </c>
      <c r="AA292" s="20">
        <f t="shared" si="26"/>
        <v>-0.96711854733682723</v>
      </c>
      <c r="AB292" s="20">
        <f t="shared" si="27"/>
        <v>-1.5090829027507915</v>
      </c>
      <c r="AC292" s="20">
        <f t="shared" si="28"/>
        <v>-1.266811300909658</v>
      </c>
      <c r="AD292" s="20"/>
    </row>
    <row r="293" spans="1:30" x14ac:dyDescent="0.45">
      <c r="A293" s="8" t="s">
        <v>520</v>
      </c>
      <c r="B293" s="8" t="s">
        <v>1006</v>
      </c>
      <c r="C293" s="8">
        <v>47.1</v>
      </c>
      <c r="D293" s="8" t="s">
        <v>1009</v>
      </c>
      <c r="E293" s="8" t="s">
        <v>1011</v>
      </c>
      <c r="F293" s="8" t="s">
        <v>1019</v>
      </c>
      <c r="G293" s="8" t="s">
        <v>1023</v>
      </c>
      <c r="H293" s="8">
        <v>40856.980000000003</v>
      </c>
      <c r="I293" s="8">
        <v>745</v>
      </c>
      <c r="J293" s="8">
        <v>1</v>
      </c>
      <c r="K293" s="8">
        <v>1</v>
      </c>
      <c r="L293" s="8">
        <v>1682.43</v>
      </c>
      <c r="M293" s="8">
        <v>9459.9</v>
      </c>
      <c r="N293" s="8">
        <v>40856.980000000003</v>
      </c>
      <c r="O293" s="8" t="str">
        <f t="shared" si="29"/>
        <v>Fraud</v>
      </c>
      <c r="P293" s="8">
        <v>1</v>
      </c>
      <c r="Q293" s="8" t="s">
        <v>1027</v>
      </c>
      <c r="R293" s="8" t="s">
        <v>1029</v>
      </c>
      <c r="S293" s="8">
        <v>3604</v>
      </c>
      <c r="T293" s="8">
        <v>33</v>
      </c>
      <c r="U293" s="8">
        <v>9849.65</v>
      </c>
      <c r="V293" s="8">
        <v>1.8</v>
      </c>
      <c r="W293" s="8">
        <v>8.5</v>
      </c>
      <c r="X293" s="8">
        <v>1469.37</v>
      </c>
      <c r="Y293" s="20" t="str">
        <f t="shared" si="24"/>
        <v>Normal</v>
      </c>
      <c r="Z293" s="20">
        <f t="shared" si="25"/>
        <v>-0.1536357213638542</v>
      </c>
      <c r="AA293" s="20">
        <f t="shared" si="26"/>
        <v>-0.52049184767540468</v>
      </c>
      <c r="AB293" s="20">
        <f t="shared" si="27"/>
        <v>-1.004147908402423</v>
      </c>
      <c r="AC293" s="20">
        <f t="shared" si="28"/>
        <v>-2.0839587848302665</v>
      </c>
      <c r="AD293" s="20"/>
    </row>
    <row r="294" spans="1:30" x14ac:dyDescent="0.45">
      <c r="A294" s="8" t="s">
        <v>298</v>
      </c>
      <c r="B294" s="8" t="s">
        <v>794</v>
      </c>
      <c r="C294" s="8">
        <v>56.9</v>
      </c>
      <c r="D294" s="8" t="s">
        <v>1009</v>
      </c>
      <c r="E294" s="8" t="s">
        <v>1013</v>
      </c>
      <c r="F294" s="8" t="s">
        <v>1016</v>
      </c>
      <c r="G294" s="8" t="s">
        <v>1022</v>
      </c>
      <c r="H294" s="8">
        <v>109452.59</v>
      </c>
      <c r="I294" s="8">
        <v>675</v>
      </c>
      <c r="J294" s="8">
        <v>0</v>
      </c>
      <c r="K294" s="8">
        <v>0</v>
      </c>
      <c r="L294" s="8">
        <v>1700.88</v>
      </c>
      <c r="M294" s="8">
        <v>1009.47</v>
      </c>
      <c r="N294" s="8">
        <v>71153.820000000007</v>
      </c>
      <c r="O294" s="8" t="str">
        <f t="shared" si="29"/>
        <v>Not Fraud</v>
      </c>
      <c r="P294" s="8">
        <v>0</v>
      </c>
      <c r="Q294" s="8" t="s">
        <v>1024</v>
      </c>
      <c r="R294" s="8" t="s">
        <v>1026</v>
      </c>
      <c r="S294" s="8">
        <v>2719</v>
      </c>
      <c r="T294" s="8">
        <v>273</v>
      </c>
      <c r="U294" s="8">
        <v>3252.3</v>
      </c>
      <c r="V294" s="8">
        <v>4.5</v>
      </c>
      <c r="W294" s="8">
        <v>2.2999999999999998</v>
      </c>
      <c r="X294" s="8">
        <v>0</v>
      </c>
      <c r="Y294" s="20" t="str">
        <f t="shared" si="24"/>
        <v>Normal</v>
      </c>
      <c r="Z294" s="20">
        <f t="shared" si="25"/>
        <v>-0.14483132186752473</v>
      </c>
      <c r="AA294" s="20">
        <f t="shared" si="26"/>
        <v>-0.94221423781066138</v>
      </c>
      <c r="AB294" s="20">
        <f t="shared" si="27"/>
        <v>0.56743715502148828</v>
      </c>
      <c r="AC294" s="20">
        <f t="shared" si="28"/>
        <v>0.79510092151991363</v>
      </c>
      <c r="AD294" s="20"/>
    </row>
    <row r="295" spans="1:30" x14ac:dyDescent="0.45">
      <c r="A295" s="8" t="s">
        <v>214</v>
      </c>
      <c r="B295" s="8" t="s">
        <v>712</v>
      </c>
      <c r="C295" s="8">
        <v>62.8</v>
      </c>
      <c r="D295" s="8" t="s">
        <v>1009</v>
      </c>
      <c r="E295" s="8" t="s">
        <v>1012</v>
      </c>
      <c r="F295" s="8" t="s">
        <v>1016</v>
      </c>
      <c r="G295" s="8" t="s">
        <v>1021</v>
      </c>
      <c r="H295" s="8">
        <v>66999.039999999994</v>
      </c>
      <c r="I295" s="8">
        <v>795</v>
      </c>
      <c r="J295" s="8">
        <v>0</v>
      </c>
      <c r="K295" s="8">
        <v>0</v>
      </c>
      <c r="L295" s="8">
        <v>1715.06</v>
      </c>
      <c r="M295" s="8">
        <v>17141.27</v>
      </c>
      <c r="N295" s="8">
        <v>53678.54</v>
      </c>
      <c r="O295" s="8" t="str">
        <f t="shared" si="29"/>
        <v>Not Fraud</v>
      </c>
      <c r="P295" s="8">
        <v>0</v>
      </c>
      <c r="Q295" s="8" t="s">
        <v>1027</v>
      </c>
      <c r="R295" s="8" t="s">
        <v>1030</v>
      </c>
      <c r="S295" s="8">
        <v>1499</v>
      </c>
      <c r="T295" s="8">
        <v>35</v>
      </c>
      <c r="U295" s="8">
        <v>6247.48</v>
      </c>
      <c r="V295" s="8">
        <v>0.5</v>
      </c>
      <c r="W295" s="8">
        <v>2.7</v>
      </c>
      <c r="X295" s="8">
        <v>0</v>
      </c>
      <c r="Y295" s="20" t="str">
        <f t="shared" si="24"/>
        <v>Normal</v>
      </c>
      <c r="Z295" s="20">
        <f t="shared" si="25"/>
        <v>-0.13806458014080658</v>
      </c>
      <c r="AA295" s="20">
        <f t="shared" si="26"/>
        <v>-0.13714973184067708</v>
      </c>
      <c r="AB295" s="20">
        <f t="shared" si="27"/>
        <v>-0.33905636137001038</v>
      </c>
      <c r="AC295" s="20">
        <f t="shared" si="28"/>
        <v>-0.9867376713072763</v>
      </c>
      <c r="AD295" s="20"/>
    </row>
    <row r="296" spans="1:30" x14ac:dyDescent="0.45">
      <c r="A296" s="8" t="s">
        <v>465</v>
      </c>
      <c r="B296" s="8" t="s">
        <v>954</v>
      </c>
      <c r="C296" s="8">
        <v>19</v>
      </c>
      <c r="D296" s="8" t="s">
        <v>1010</v>
      </c>
      <c r="E296" s="8" t="s">
        <v>1012</v>
      </c>
      <c r="F296" s="8" t="s">
        <v>1017</v>
      </c>
      <c r="G296" s="8" t="s">
        <v>1021</v>
      </c>
      <c r="H296" s="8">
        <v>86869.36</v>
      </c>
      <c r="I296" s="8">
        <v>650</v>
      </c>
      <c r="J296" s="8">
        <v>1</v>
      </c>
      <c r="K296" s="8">
        <v>1</v>
      </c>
      <c r="L296" s="8">
        <v>1728.17</v>
      </c>
      <c r="M296" s="8">
        <v>2564.9299999999998</v>
      </c>
      <c r="N296" s="8">
        <v>38165.980000000003</v>
      </c>
      <c r="O296" s="8" t="str">
        <f t="shared" si="29"/>
        <v>Not Fraud</v>
      </c>
      <c r="P296" s="8">
        <v>0</v>
      </c>
      <c r="Q296" s="8" t="s">
        <v>1025</v>
      </c>
      <c r="R296" s="8" t="s">
        <v>1026</v>
      </c>
      <c r="S296" s="8">
        <v>511</v>
      </c>
      <c r="T296" s="8">
        <v>190</v>
      </c>
      <c r="U296" s="8">
        <v>8204.57</v>
      </c>
      <c r="V296" s="8">
        <v>1.7</v>
      </c>
      <c r="W296" s="8">
        <v>8.3000000000000007</v>
      </c>
      <c r="X296" s="8">
        <v>0</v>
      </c>
      <c r="Y296" s="20" t="str">
        <f t="shared" si="24"/>
        <v>Normal</v>
      </c>
      <c r="Z296" s="20">
        <f t="shared" si="25"/>
        <v>-0.13180844586455293</v>
      </c>
      <c r="AA296" s="20">
        <f t="shared" si="26"/>
        <v>-0.8645883289563443</v>
      </c>
      <c r="AB296" s="20">
        <f t="shared" si="27"/>
        <v>-1.1437378922315531</v>
      </c>
      <c r="AC296" s="20">
        <f t="shared" si="28"/>
        <v>-0.15275080736242413</v>
      </c>
      <c r="AD296" s="20"/>
    </row>
    <row r="297" spans="1:30" x14ac:dyDescent="0.45">
      <c r="A297" s="8" t="s">
        <v>385</v>
      </c>
      <c r="B297" s="8" t="s">
        <v>879</v>
      </c>
      <c r="C297" s="8">
        <v>48.4</v>
      </c>
      <c r="D297" s="8" t="s">
        <v>1009</v>
      </c>
      <c r="E297" s="8" t="s">
        <v>1012</v>
      </c>
      <c r="F297" s="8" t="s">
        <v>1017</v>
      </c>
      <c r="G297" s="8" t="s">
        <v>1023</v>
      </c>
      <c r="H297" s="8">
        <v>75644.149999999994</v>
      </c>
      <c r="I297" s="8">
        <v>685</v>
      </c>
      <c r="J297" s="8">
        <v>0</v>
      </c>
      <c r="K297" s="8">
        <v>1</v>
      </c>
      <c r="L297" s="8">
        <v>1733.91</v>
      </c>
      <c r="M297" s="8">
        <v>1102.53</v>
      </c>
      <c r="N297" s="8">
        <v>42024.32</v>
      </c>
      <c r="O297" s="8" t="str">
        <f t="shared" si="29"/>
        <v>Fraud</v>
      </c>
      <c r="P297" s="8">
        <v>1</v>
      </c>
      <c r="Q297" s="8" t="s">
        <v>1026</v>
      </c>
      <c r="R297" s="8" t="s">
        <v>1030</v>
      </c>
      <c r="S297" s="8">
        <v>1049</v>
      </c>
      <c r="T297" s="8">
        <v>260</v>
      </c>
      <c r="U297" s="8">
        <v>2983.76</v>
      </c>
      <c r="V297" s="8">
        <v>6.1</v>
      </c>
      <c r="W297" s="8">
        <v>6.6</v>
      </c>
      <c r="X297" s="8">
        <v>1632.58</v>
      </c>
      <c r="Y297" s="20" t="str">
        <f t="shared" si="24"/>
        <v>Normal</v>
      </c>
      <c r="Z297" s="20">
        <f t="shared" si="25"/>
        <v>-0.12906929935458375</v>
      </c>
      <c r="AA297" s="20">
        <f t="shared" si="26"/>
        <v>-0.93757003797396832</v>
      </c>
      <c r="AB297" s="20">
        <f t="shared" si="27"/>
        <v>-0.94359459300922477</v>
      </c>
      <c r="AC297" s="20">
        <f t="shared" si="28"/>
        <v>-0.62388955525487866</v>
      </c>
      <c r="AD297" s="20"/>
    </row>
    <row r="298" spans="1:30" x14ac:dyDescent="0.45">
      <c r="A298" s="8" t="s">
        <v>52</v>
      </c>
      <c r="B298" s="8" t="s">
        <v>552</v>
      </c>
      <c r="C298" s="8">
        <v>45.6</v>
      </c>
      <c r="D298" s="8" t="s">
        <v>1010</v>
      </c>
      <c r="E298" s="8" t="s">
        <v>1012</v>
      </c>
      <c r="F298" s="8" t="s">
        <v>1016</v>
      </c>
      <c r="G298" s="8" t="s">
        <v>1021</v>
      </c>
      <c r="H298" s="8">
        <v>86254.35</v>
      </c>
      <c r="I298" s="8">
        <v>711</v>
      </c>
      <c r="J298" s="8">
        <v>1</v>
      </c>
      <c r="K298" s="8">
        <v>1</v>
      </c>
      <c r="L298" s="8">
        <v>1738.66</v>
      </c>
      <c r="M298" s="8">
        <v>822.39</v>
      </c>
      <c r="N298" s="8">
        <v>70016.89</v>
      </c>
      <c r="O298" s="8" t="str">
        <f t="shared" si="29"/>
        <v>Fraud</v>
      </c>
      <c r="P298" s="8">
        <v>1</v>
      </c>
      <c r="Q298" s="8" t="s">
        <v>1027</v>
      </c>
      <c r="R298" s="8" t="s">
        <v>1030</v>
      </c>
      <c r="S298" s="8">
        <v>3121</v>
      </c>
      <c r="T298" s="8">
        <v>249</v>
      </c>
      <c r="U298" s="8">
        <v>8081.3</v>
      </c>
      <c r="V298" s="8">
        <v>4</v>
      </c>
      <c r="W298" s="8">
        <v>5.3</v>
      </c>
      <c r="X298" s="8">
        <v>1557.6</v>
      </c>
      <c r="Y298" s="20" t="str">
        <f t="shared" si="24"/>
        <v>Normal</v>
      </c>
      <c r="Z298" s="20">
        <f t="shared" si="25"/>
        <v>-0.12680258403710057</v>
      </c>
      <c r="AA298" s="20">
        <f t="shared" si="26"/>
        <v>-0.95155054670222128</v>
      </c>
      <c r="AB298" s="20">
        <f t="shared" si="27"/>
        <v>0.50846129462949496</v>
      </c>
      <c r="AC298" s="20">
        <f t="shared" si="28"/>
        <v>-0.17856369116070814</v>
      </c>
      <c r="AD298" s="20"/>
    </row>
    <row r="299" spans="1:30" x14ac:dyDescent="0.45">
      <c r="A299" s="8" t="s">
        <v>154</v>
      </c>
      <c r="B299" s="8" t="s">
        <v>652</v>
      </c>
      <c r="C299" s="8">
        <v>51</v>
      </c>
      <c r="D299" s="8" t="s">
        <v>1009</v>
      </c>
      <c r="E299" s="8" t="s">
        <v>1012</v>
      </c>
      <c r="F299" s="8" t="s">
        <v>1016</v>
      </c>
      <c r="G299" s="8" t="s">
        <v>1022</v>
      </c>
      <c r="H299" s="8">
        <v>91041.67</v>
      </c>
      <c r="I299" s="8">
        <v>733</v>
      </c>
      <c r="J299" s="8">
        <v>0</v>
      </c>
      <c r="K299" s="8">
        <v>0</v>
      </c>
      <c r="L299" s="8">
        <v>1762.85</v>
      </c>
      <c r="M299" s="8">
        <v>3897.98</v>
      </c>
      <c r="N299" s="8">
        <v>56123.48</v>
      </c>
      <c r="O299" s="8" t="str">
        <f t="shared" si="29"/>
        <v>Fraud</v>
      </c>
      <c r="P299" s="8">
        <v>1</v>
      </c>
      <c r="Q299" s="8" t="s">
        <v>1027</v>
      </c>
      <c r="R299" s="8" t="s">
        <v>1030</v>
      </c>
      <c r="S299" s="8">
        <v>1263</v>
      </c>
      <c r="T299" s="8">
        <v>131</v>
      </c>
      <c r="U299" s="8">
        <v>9614.2099999999991</v>
      </c>
      <c r="V299" s="8">
        <v>5.3</v>
      </c>
      <c r="W299" s="8">
        <v>1.8</v>
      </c>
      <c r="X299" s="8">
        <v>1522.9</v>
      </c>
      <c r="Y299" s="20" t="str">
        <f t="shared" si="24"/>
        <v>Normal</v>
      </c>
      <c r="Z299" s="20">
        <f t="shared" si="25"/>
        <v>-0.11525903803080206</v>
      </c>
      <c r="AA299" s="20">
        <f t="shared" si="26"/>
        <v>-0.79806188803324296</v>
      </c>
      <c r="AB299" s="20">
        <f t="shared" si="27"/>
        <v>-0.21223022422278115</v>
      </c>
      <c r="AC299" s="20">
        <f t="shared" si="28"/>
        <v>2.2367244702451688E-2</v>
      </c>
      <c r="AD299" s="20"/>
    </row>
    <row r="300" spans="1:30" x14ac:dyDescent="0.45">
      <c r="A300" s="8" t="s">
        <v>126</v>
      </c>
      <c r="B300" s="8" t="s">
        <v>625</v>
      </c>
      <c r="C300" s="8">
        <v>38</v>
      </c>
      <c r="D300" s="8" t="s">
        <v>1010</v>
      </c>
      <c r="E300" s="8" t="s">
        <v>1013</v>
      </c>
      <c r="F300" s="8" t="s">
        <v>1018</v>
      </c>
      <c r="G300" s="8" t="s">
        <v>1020</v>
      </c>
      <c r="H300" s="8">
        <v>99642.4</v>
      </c>
      <c r="I300" s="8">
        <v>657</v>
      </c>
      <c r="J300" s="8">
        <v>0</v>
      </c>
      <c r="K300" s="8">
        <v>1</v>
      </c>
      <c r="L300" s="8">
        <v>1764.92</v>
      </c>
      <c r="M300" s="8">
        <v>15585.87</v>
      </c>
      <c r="N300" s="8">
        <v>70323.570000000007</v>
      </c>
      <c r="O300" s="8" t="str">
        <f t="shared" si="29"/>
        <v>Not Fraud</v>
      </c>
      <c r="P300" s="8">
        <v>0</v>
      </c>
      <c r="Q300" s="8" t="s">
        <v>1026</v>
      </c>
      <c r="R300" s="8" t="s">
        <v>1030</v>
      </c>
      <c r="S300" s="8">
        <v>3213</v>
      </c>
      <c r="T300" s="8">
        <v>65</v>
      </c>
      <c r="U300" s="8">
        <v>4632.25</v>
      </c>
      <c r="V300" s="8">
        <v>3.8</v>
      </c>
      <c r="W300" s="8">
        <v>4.0999999999999996</v>
      </c>
      <c r="X300" s="8">
        <v>0</v>
      </c>
      <c r="Y300" s="20" t="str">
        <f t="shared" si="24"/>
        <v>Normal</v>
      </c>
      <c r="Z300" s="20">
        <f t="shared" si="25"/>
        <v>-0.11427122735560405</v>
      </c>
      <c r="AA300" s="20">
        <f t="shared" si="26"/>
        <v>-0.21477264636885826</v>
      </c>
      <c r="AB300" s="20">
        <f t="shared" si="27"/>
        <v>0.52436967673306933</v>
      </c>
      <c r="AC300" s="20">
        <f t="shared" si="28"/>
        <v>0.38335266619221142</v>
      </c>
      <c r="AD300" s="20"/>
    </row>
    <row r="301" spans="1:30" x14ac:dyDescent="0.45">
      <c r="A301" s="8" t="s">
        <v>94</v>
      </c>
      <c r="B301" s="8" t="s">
        <v>594</v>
      </c>
      <c r="C301" s="8">
        <v>73.099999999999994</v>
      </c>
      <c r="D301" s="8" t="s">
        <v>1010</v>
      </c>
      <c r="E301" s="8" t="s">
        <v>1014</v>
      </c>
      <c r="F301" s="8" t="s">
        <v>1016</v>
      </c>
      <c r="G301" s="8" t="s">
        <v>1020</v>
      </c>
      <c r="H301" s="8">
        <v>139797.45000000001</v>
      </c>
      <c r="I301" s="8">
        <v>790</v>
      </c>
      <c r="J301" s="8">
        <v>1</v>
      </c>
      <c r="K301" s="8">
        <v>0</v>
      </c>
      <c r="L301" s="8">
        <v>1766.69</v>
      </c>
      <c r="M301" s="8">
        <v>4087.38</v>
      </c>
      <c r="N301" s="8">
        <v>87488.76</v>
      </c>
      <c r="O301" s="8" t="str">
        <f t="shared" si="29"/>
        <v>Not Fraud</v>
      </c>
      <c r="P301" s="8">
        <v>0</v>
      </c>
      <c r="Q301" s="8" t="s">
        <v>1027</v>
      </c>
      <c r="R301" s="8" t="s">
        <v>1030</v>
      </c>
      <c r="S301" s="8">
        <v>2522</v>
      </c>
      <c r="T301" s="8">
        <v>257</v>
      </c>
      <c r="U301" s="8">
        <v>8449.4699999999993</v>
      </c>
      <c r="V301" s="8">
        <v>4.0999999999999996</v>
      </c>
      <c r="W301" s="8">
        <v>1.6</v>
      </c>
      <c r="X301" s="8">
        <v>0</v>
      </c>
      <c r="Y301" s="20" t="str">
        <f t="shared" si="24"/>
        <v>Normal</v>
      </c>
      <c r="Z301" s="20">
        <f t="shared" si="25"/>
        <v>-0.11342657764782611</v>
      </c>
      <c r="AA301" s="20">
        <f t="shared" si="26"/>
        <v>-0.78860979853109714</v>
      </c>
      <c r="AB301" s="20">
        <f t="shared" si="27"/>
        <v>1.414777924419411</v>
      </c>
      <c r="AC301" s="20">
        <f t="shared" si="28"/>
        <v>2.0687197977255103</v>
      </c>
      <c r="AD301" s="20"/>
    </row>
    <row r="302" spans="1:30" x14ac:dyDescent="0.45">
      <c r="A302" s="8" t="s">
        <v>104</v>
      </c>
      <c r="B302" s="8" t="s">
        <v>604</v>
      </c>
      <c r="C302" s="8">
        <v>55.4</v>
      </c>
      <c r="D302" s="8" t="s">
        <v>1010</v>
      </c>
      <c r="E302" s="8" t="s">
        <v>1012</v>
      </c>
      <c r="F302" s="8" t="s">
        <v>1016</v>
      </c>
      <c r="G302" s="8" t="s">
        <v>1021</v>
      </c>
      <c r="H302" s="8">
        <v>105100.98</v>
      </c>
      <c r="I302" s="8">
        <v>629</v>
      </c>
      <c r="J302" s="8">
        <v>1</v>
      </c>
      <c r="K302" s="8">
        <v>0</v>
      </c>
      <c r="L302" s="8">
        <v>1775.56</v>
      </c>
      <c r="M302" s="8">
        <v>4078.07</v>
      </c>
      <c r="N302" s="8">
        <v>61791.61</v>
      </c>
      <c r="O302" s="8" t="str">
        <f t="shared" si="29"/>
        <v>Not Fraud</v>
      </c>
      <c r="P302" s="8">
        <v>0</v>
      </c>
      <c r="Q302" s="8" t="s">
        <v>1025</v>
      </c>
      <c r="R302" s="8" t="s">
        <v>1026</v>
      </c>
      <c r="S302" s="8">
        <v>3205</v>
      </c>
      <c r="T302" s="8">
        <v>21</v>
      </c>
      <c r="U302" s="8">
        <v>75.19</v>
      </c>
      <c r="V302" s="8">
        <v>5.7</v>
      </c>
      <c r="W302" s="8">
        <v>6.7</v>
      </c>
      <c r="X302" s="8">
        <v>0</v>
      </c>
      <c r="Y302" s="20" t="str">
        <f t="shared" si="24"/>
        <v>Normal</v>
      </c>
      <c r="Z302" s="20">
        <f t="shared" si="25"/>
        <v>-0.10919378504444177</v>
      </c>
      <c r="AA302" s="20">
        <f t="shared" si="26"/>
        <v>-0.78907441813650891</v>
      </c>
      <c r="AB302" s="20">
        <f t="shared" si="27"/>
        <v>8.1792137368228615E-2</v>
      </c>
      <c r="AC302" s="20">
        <f t="shared" si="28"/>
        <v>0.6124573819588468</v>
      </c>
      <c r="AD302" s="20"/>
    </row>
    <row r="303" spans="1:30" x14ac:dyDescent="0.45">
      <c r="A303" s="8" t="s">
        <v>509</v>
      </c>
      <c r="B303" s="8" t="s">
        <v>997</v>
      </c>
      <c r="C303" s="8">
        <v>40.299999999999997</v>
      </c>
      <c r="D303" s="8" t="s">
        <v>1010</v>
      </c>
      <c r="E303" s="8" t="s">
        <v>1012</v>
      </c>
      <c r="F303" s="8" t="s">
        <v>1016</v>
      </c>
      <c r="G303" s="8" t="s">
        <v>1020</v>
      </c>
      <c r="H303" s="8">
        <v>77322.42</v>
      </c>
      <c r="I303" s="8">
        <v>644</v>
      </c>
      <c r="J303" s="8">
        <v>0</v>
      </c>
      <c r="K303" s="8">
        <v>0</v>
      </c>
      <c r="L303" s="8">
        <v>1787.43</v>
      </c>
      <c r="M303" s="8">
        <v>8229.58</v>
      </c>
      <c r="N303" s="8">
        <v>56882.04</v>
      </c>
      <c r="O303" s="8" t="str">
        <f t="shared" si="29"/>
        <v>Not Fraud</v>
      </c>
      <c r="P303" s="8">
        <v>0</v>
      </c>
      <c r="Q303" s="8" t="s">
        <v>1025</v>
      </c>
      <c r="R303" s="8" t="s">
        <v>1028</v>
      </c>
      <c r="S303" s="8">
        <v>3212</v>
      </c>
      <c r="T303" s="8">
        <v>76</v>
      </c>
      <c r="U303" s="8">
        <v>7866.97</v>
      </c>
      <c r="V303" s="8">
        <v>2.2000000000000002</v>
      </c>
      <c r="W303" s="8">
        <v>5.3</v>
      </c>
      <c r="X303" s="8">
        <v>0</v>
      </c>
      <c r="Y303" s="20" t="str">
        <f t="shared" si="24"/>
        <v>Normal</v>
      </c>
      <c r="Z303" s="20">
        <f t="shared" si="25"/>
        <v>-0.10352938276685741</v>
      </c>
      <c r="AA303" s="20">
        <f t="shared" si="26"/>
        <v>-0.58189150319958616</v>
      </c>
      <c r="AB303" s="20">
        <f t="shared" si="27"/>
        <v>-0.17288151439988086</v>
      </c>
      <c r="AC303" s="20">
        <f t="shared" si="28"/>
        <v>-0.55345006891783266</v>
      </c>
      <c r="AD303" s="20"/>
    </row>
    <row r="304" spans="1:30" x14ac:dyDescent="0.45">
      <c r="A304" s="8" t="s">
        <v>415</v>
      </c>
      <c r="B304" s="8" t="s">
        <v>905</v>
      </c>
      <c r="C304" s="8">
        <v>30.2</v>
      </c>
      <c r="D304" s="8" t="s">
        <v>1009</v>
      </c>
      <c r="E304" s="8" t="s">
        <v>1015</v>
      </c>
      <c r="F304" s="8" t="s">
        <v>1016</v>
      </c>
      <c r="G304" s="8" t="s">
        <v>1023</v>
      </c>
      <c r="H304" s="8">
        <v>99744.77</v>
      </c>
      <c r="I304" s="8">
        <v>744</v>
      </c>
      <c r="J304" s="8">
        <v>0</v>
      </c>
      <c r="K304" s="8">
        <v>0</v>
      </c>
      <c r="L304" s="8">
        <v>1800.33</v>
      </c>
      <c r="M304" s="8">
        <v>6309.54</v>
      </c>
      <c r="N304" s="8">
        <v>73587.47</v>
      </c>
      <c r="O304" s="8" t="str">
        <f t="shared" si="29"/>
        <v>Fraud</v>
      </c>
      <c r="P304" s="8">
        <v>1</v>
      </c>
      <c r="Q304" s="8" t="s">
        <v>1025</v>
      </c>
      <c r="R304" s="8" t="s">
        <v>1026</v>
      </c>
      <c r="S304" s="8">
        <v>4420</v>
      </c>
      <c r="T304" s="8">
        <v>112</v>
      </c>
      <c r="U304" s="8">
        <v>2727.31</v>
      </c>
      <c r="V304" s="8">
        <v>5.9</v>
      </c>
      <c r="W304" s="8">
        <v>11.2</v>
      </c>
      <c r="X304" s="8">
        <v>1128.6199999999999</v>
      </c>
      <c r="Y304" s="20" t="str">
        <f t="shared" si="24"/>
        <v>Normal</v>
      </c>
      <c r="Z304" s="20">
        <f t="shared" si="25"/>
        <v>-9.7373461167797867E-2</v>
      </c>
      <c r="AA304" s="20">
        <f t="shared" si="26"/>
        <v>-0.6777119357639998</v>
      </c>
      <c r="AB304" s="20">
        <f t="shared" si="27"/>
        <v>0.69367764708605983</v>
      </c>
      <c r="AC304" s="20">
        <f t="shared" si="28"/>
        <v>0.38764928724622782</v>
      </c>
      <c r="AD304" s="20"/>
    </row>
    <row r="305" spans="1:30" x14ac:dyDescent="0.45">
      <c r="A305" s="8" t="s">
        <v>275</v>
      </c>
      <c r="B305" s="8" t="s">
        <v>772</v>
      </c>
      <c r="C305" s="8">
        <v>81.8</v>
      </c>
      <c r="D305" s="8" t="s">
        <v>1009</v>
      </c>
      <c r="E305" s="8" t="s">
        <v>1012</v>
      </c>
      <c r="F305" s="8" t="s">
        <v>1019</v>
      </c>
      <c r="G305" s="8" t="s">
        <v>1023</v>
      </c>
      <c r="H305" s="8">
        <v>94896.66</v>
      </c>
      <c r="I305" s="8">
        <v>726</v>
      </c>
      <c r="J305" s="8">
        <v>1</v>
      </c>
      <c r="K305" s="8">
        <v>0</v>
      </c>
      <c r="L305" s="8">
        <v>1800.71</v>
      </c>
      <c r="M305" s="8">
        <v>3770.72</v>
      </c>
      <c r="N305" s="8">
        <v>62037.13</v>
      </c>
      <c r="O305" s="8" t="str">
        <f t="shared" si="29"/>
        <v>Fraud</v>
      </c>
      <c r="P305" s="8">
        <v>1</v>
      </c>
      <c r="Q305" s="8" t="s">
        <v>1024</v>
      </c>
      <c r="R305" s="8" t="s">
        <v>1028</v>
      </c>
      <c r="S305" s="8">
        <v>3462</v>
      </c>
      <c r="T305" s="8">
        <v>216</v>
      </c>
      <c r="U305" s="8">
        <v>2250.4899999999998</v>
      </c>
      <c r="V305" s="8">
        <v>4.5</v>
      </c>
      <c r="W305" s="8">
        <v>3.5</v>
      </c>
      <c r="X305" s="8">
        <v>1385.27</v>
      </c>
      <c r="Y305" s="20" t="str">
        <f t="shared" si="24"/>
        <v>Normal</v>
      </c>
      <c r="Z305" s="20">
        <f t="shared" si="25"/>
        <v>-9.7192123942399164E-2</v>
      </c>
      <c r="AA305" s="20">
        <f t="shared" si="26"/>
        <v>-0.80441285376736693</v>
      </c>
      <c r="AB305" s="20">
        <f t="shared" si="27"/>
        <v>9.4527972682137057E-2</v>
      </c>
      <c r="AC305" s="20">
        <f t="shared" si="28"/>
        <v>0.18416690473000882</v>
      </c>
      <c r="AD305" s="20"/>
    </row>
    <row r="306" spans="1:30" x14ac:dyDescent="0.45">
      <c r="A306" s="8" t="s">
        <v>70</v>
      </c>
      <c r="B306" s="8" t="s">
        <v>570</v>
      </c>
      <c r="C306" s="8">
        <v>65.900000000000006</v>
      </c>
      <c r="D306" s="8" t="s">
        <v>1009</v>
      </c>
      <c r="E306" s="8" t="s">
        <v>1013</v>
      </c>
      <c r="F306" s="8" t="s">
        <v>1019</v>
      </c>
      <c r="G306" s="8" t="s">
        <v>1022</v>
      </c>
      <c r="H306" s="8">
        <v>84639.02</v>
      </c>
      <c r="I306" s="8">
        <v>614</v>
      </c>
      <c r="J306" s="8">
        <v>0</v>
      </c>
      <c r="K306" s="8">
        <v>1</v>
      </c>
      <c r="L306" s="8">
        <v>1809.79</v>
      </c>
      <c r="M306" s="8">
        <v>1122.21</v>
      </c>
      <c r="N306" s="8">
        <v>69933.98</v>
      </c>
      <c r="O306" s="8" t="str">
        <f t="shared" si="29"/>
        <v>Not Fraud</v>
      </c>
      <c r="P306" s="8">
        <v>0</v>
      </c>
      <c r="Q306" s="8" t="s">
        <v>1025</v>
      </c>
      <c r="R306" s="8" t="s">
        <v>1030</v>
      </c>
      <c r="S306" s="8">
        <v>1159</v>
      </c>
      <c r="T306" s="8">
        <v>187</v>
      </c>
      <c r="U306" s="8">
        <v>9743.31</v>
      </c>
      <c r="V306" s="8">
        <v>1.6</v>
      </c>
      <c r="W306" s="8">
        <v>7</v>
      </c>
      <c r="X306" s="8">
        <v>0</v>
      </c>
      <c r="Y306" s="20" t="str">
        <f t="shared" si="24"/>
        <v>Normal</v>
      </c>
      <c r="Z306" s="20">
        <f t="shared" si="25"/>
        <v>-9.2859118661820811E-2</v>
      </c>
      <c r="AA306" s="20">
        <f t="shared" si="26"/>
        <v>-0.93658789900141159</v>
      </c>
      <c r="AB306" s="20">
        <f t="shared" si="27"/>
        <v>0.50416051218457725</v>
      </c>
      <c r="AC306" s="20">
        <f t="shared" si="28"/>
        <v>-0.24636149214911895</v>
      </c>
      <c r="AD306" s="20"/>
    </row>
    <row r="307" spans="1:30" x14ac:dyDescent="0.45">
      <c r="A307" s="8" t="s">
        <v>73</v>
      </c>
      <c r="B307" s="8" t="s">
        <v>573</v>
      </c>
      <c r="C307" s="8">
        <v>54.9</v>
      </c>
      <c r="D307" s="8" t="s">
        <v>1010</v>
      </c>
      <c r="E307" s="8" t="s">
        <v>1012</v>
      </c>
      <c r="F307" s="8" t="s">
        <v>1016</v>
      </c>
      <c r="G307" s="8" t="s">
        <v>1022</v>
      </c>
      <c r="H307" s="8">
        <v>146266.49</v>
      </c>
      <c r="I307" s="8">
        <v>720</v>
      </c>
      <c r="J307" s="8">
        <v>0</v>
      </c>
      <c r="K307" s="8">
        <v>1</v>
      </c>
      <c r="L307" s="8">
        <v>1854.22</v>
      </c>
      <c r="M307" s="8">
        <v>9664.7099999999991</v>
      </c>
      <c r="N307" s="8">
        <v>112886.87</v>
      </c>
      <c r="O307" s="8" t="str">
        <f t="shared" si="29"/>
        <v>Not Fraud</v>
      </c>
      <c r="P307" s="8">
        <v>0</v>
      </c>
      <c r="Q307" s="8" t="s">
        <v>1026</v>
      </c>
      <c r="R307" s="8" t="s">
        <v>1028</v>
      </c>
      <c r="S307" s="8">
        <v>1810</v>
      </c>
      <c r="T307" s="8">
        <v>60</v>
      </c>
      <c r="U307" s="8">
        <v>9343.36</v>
      </c>
      <c r="V307" s="8">
        <v>2.6</v>
      </c>
      <c r="W307" s="8">
        <v>1.1000000000000001</v>
      </c>
      <c r="X307" s="8">
        <v>0</v>
      </c>
      <c r="Y307" s="20" t="str">
        <f t="shared" si="24"/>
        <v>Normal</v>
      </c>
      <c r="Z307" s="20">
        <f t="shared" si="25"/>
        <v>-7.1656979386920144E-2</v>
      </c>
      <c r="AA307" s="20">
        <f t="shared" si="26"/>
        <v>-0.51027071541070312</v>
      </c>
      <c r="AB307" s="20">
        <f t="shared" si="27"/>
        <v>2.7322516383512094</v>
      </c>
      <c r="AC307" s="20">
        <f t="shared" si="28"/>
        <v>2.3402350215535006</v>
      </c>
      <c r="AD307" s="20"/>
    </row>
    <row r="308" spans="1:30" x14ac:dyDescent="0.45">
      <c r="A308" s="8" t="s">
        <v>480</v>
      </c>
      <c r="B308" s="8" t="s">
        <v>969</v>
      </c>
      <c r="C308" s="8">
        <v>34.5</v>
      </c>
      <c r="D308" s="8" t="s">
        <v>1009</v>
      </c>
      <c r="E308" s="8" t="s">
        <v>1013</v>
      </c>
      <c r="F308" s="8" t="s">
        <v>1019</v>
      </c>
      <c r="G308" s="8" t="s">
        <v>1020</v>
      </c>
      <c r="H308" s="8">
        <v>75669.820000000007</v>
      </c>
      <c r="I308" s="8">
        <v>631</v>
      </c>
      <c r="J308" s="8">
        <v>0</v>
      </c>
      <c r="K308" s="8">
        <v>1</v>
      </c>
      <c r="L308" s="8">
        <v>1866.45</v>
      </c>
      <c r="M308" s="8">
        <v>1106.67</v>
      </c>
      <c r="N308" s="8">
        <v>68419.460000000006</v>
      </c>
      <c r="O308" s="8" t="str">
        <f t="shared" si="29"/>
        <v>Not Fraud</v>
      </c>
      <c r="P308" s="8">
        <v>0</v>
      </c>
      <c r="Q308" s="8" t="s">
        <v>1027</v>
      </c>
      <c r="R308" s="8" t="s">
        <v>1026</v>
      </c>
      <c r="S308" s="8">
        <v>2045</v>
      </c>
      <c r="T308" s="8">
        <v>123</v>
      </c>
      <c r="U308" s="8">
        <v>7390.63</v>
      </c>
      <c r="V308" s="8">
        <v>3.9</v>
      </c>
      <c r="W308" s="8">
        <v>6.3</v>
      </c>
      <c r="X308" s="8">
        <v>0</v>
      </c>
      <c r="Y308" s="20" t="str">
        <f t="shared" si="24"/>
        <v>Normal</v>
      </c>
      <c r="Z308" s="20">
        <f t="shared" si="25"/>
        <v>-6.5820783948431841E-2</v>
      </c>
      <c r="AA308" s="20">
        <f t="shared" si="26"/>
        <v>-0.93736342947059514</v>
      </c>
      <c r="AB308" s="20">
        <f t="shared" si="27"/>
        <v>0.42559796208837031</v>
      </c>
      <c r="AC308" s="20">
        <f t="shared" si="28"/>
        <v>-0.62281214720118472</v>
      </c>
      <c r="AD308" s="20"/>
    </row>
    <row r="309" spans="1:30" x14ac:dyDescent="0.45">
      <c r="A309" s="8" t="s">
        <v>238</v>
      </c>
      <c r="B309" s="8" t="s">
        <v>736</v>
      </c>
      <c r="C309" s="8">
        <v>61.4</v>
      </c>
      <c r="D309" s="8" t="s">
        <v>1010</v>
      </c>
      <c r="E309" s="8" t="s">
        <v>1014</v>
      </c>
      <c r="F309" s="8" t="s">
        <v>1018</v>
      </c>
      <c r="G309" s="8" t="s">
        <v>1021</v>
      </c>
      <c r="H309" s="8">
        <v>98979.26</v>
      </c>
      <c r="I309" s="8">
        <v>696</v>
      </c>
      <c r="J309" s="8">
        <v>0</v>
      </c>
      <c r="K309" s="8">
        <v>0</v>
      </c>
      <c r="L309" s="8">
        <v>1899.26</v>
      </c>
      <c r="M309" s="8">
        <v>129.71</v>
      </c>
      <c r="N309" s="8">
        <v>76357.789999999994</v>
      </c>
      <c r="O309" s="8" t="str">
        <f t="shared" si="29"/>
        <v>Not Fraud</v>
      </c>
      <c r="P309" s="8">
        <v>0</v>
      </c>
      <c r="Q309" s="8" t="s">
        <v>1025</v>
      </c>
      <c r="R309" s="8" t="s">
        <v>1030</v>
      </c>
      <c r="S309" s="8">
        <v>1771</v>
      </c>
      <c r="T309" s="8">
        <v>158</v>
      </c>
      <c r="U309" s="8">
        <v>2373.31</v>
      </c>
      <c r="V309" s="8">
        <v>3.2</v>
      </c>
      <c r="W309" s="8">
        <v>5.0999999999999996</v>
      </c>
      <c r="X309" s="8">
        <v>0</v>
      </c>
      <c r="Y309" s="20" t="str">
        <f t="shared" si="24"/>
        <v>Normal</v>
      </c>
      <c r="Z309" s="20">
        <f t="shared" si="25"/>
        <v>-5.0163746144932214E-2</v>
      </c>
      <c r="AA309" s="20">
        <f t="shared" si="26"/>
        <v>-0.9861190438318217</v>
      </c>
      <c r="AB309" s="20">
        <f t="shared" si="27"/>
        <v>0.83738218963586097</v>
      </c>
      <c r="AC309" s="20">
        <f t="shared" si="28"/>
        <v>0.35551969475761003</v>
      </c>
      <c r="AD309" s="20"/>
    </row>
    <row r="310" spans="1:30" x14ac:dyDescent="0.45">
      <c r="A310" s="8" t="s">
        <v>163</v>
      </c>
      <c r="B310" s="8" t="s">
        <v>661</v>
      </c>
      <c r="C310" s="8">
        <v>53.4</v>
      </c>
      <c r="D310" s="8" t="s">
        <v>1009</v>
      </c>
      <c r="E310" s="8" t="s">
        <v>1014</v>
      </c>
      <c r="F310" s="8" t="s">
        <v>1019</v>
      </c>
      <c r="G310" s="8" t="s">
        <v>1020</v>
      </c>
      <c r="H310" s="8">
        <v>58827.02</v>
      </c>
      <c r="I310" s="8">
        <v>500</v>
      </c>
      <c r="J310" s="8">
        <v>1</v>
      </c>
      <c r="K310" s="8">
        <v>1</v>
      </c>
      <c r="L310" s="8">
        <v>1906.43</v>
      </c>
      <c r="M310" s="8">
        <v>3945.41</v>
      </c>
      <c r="N310" s="8">
        <v>15000</v>
      </c>
      <c r="O310" s="8" t="str">
        <f t="shared" si="29"/>
        <v>Fraud</v>
      </c>
      <c r="P310" s="8">
        <v>1</v>
      </c>
      <c r="Q310" s="8" t="s">
        <v>1024</v>
      </c>
      <c r="R310" s="8" t="s">
        <v>1026</v>
      </c>
      <c r="S310" s="8">
        <v>1289</v>
      </c>
      <c r="T310" s="8">
        <v>139</v>
      </c>
      <c r="U310" s="8">
        <v>5283.06</v>
      </c>
      <c r="V310" s="8">
        <v>2.1</v>
      </c>
      <c r="W310" s="8">
        <v>2.5</v>
      </c>
      <c r="X310" s="8">
        <v>1733.32</v>
      </c>
      <c r="Y310" s="20" t="str">
        <f t="shared" si="24"/>
        <v>Normal</v>
      </c>
      <c r="Z310" s="20">
        <f t="shared" si="25"/>
        <v>-4.6742199023594395E-2</v>
      </c>
      <c r="AA310" s="20">
        <f t="shared" si="26"/>
        <v>-0.7956948732228587</v>
      </c>
      <c r="AB310" s="20">
        <f t="shared" si="27"/>
        <v>-2.3454245416503392</v>
      </c>
      <c r="AC310" s="20">
        <f t="shared" si="28"/>
        <v>-1.3297294968991442</v>
      </c>
      <c r="AD310" s="20"/>
    </row>
    <row r="311" spans="1:30" x14ac:dyDescent="0.45">
      <c r="A311" s="8" t="s">
        <v>188</v>
      </c>
      <c r="B311" s="8" t="s">
        <v>686</v>
      </c>
      <c r="C311" s="8">
        <v>56.2</v>
      </c>
      <c r="D311" s="8" t="s">
        <v>1010</v>
      </c>
      <c r="E311" s="8" t="s">
        <v>1012</v>
      </c>
      <c r="F311" s="8" t="s">
        <v>1016</v>
      </c>
      <c r="G311" s="8" t="s">
        <v>1023</v>
      </c>
      <c r="H311" s="8">
        <v>124430.46</v>
      </c>
      <c r="I311" s="8">
        <v>746</v>
      </c>
      <c r="J311" s="8">
        <v>1</v>
      </c>
      <c r="K311" s="8">
        <v>0</v>
      </c>
      <c r="L311" s="8">
        <v>1915.74</v>
      </c>
      <c r="M311" s="8">
        <v>32609.71</v>
      </c>
      <c r="N311" s="8">
        <v>63103.81</v>
      </c>
      <c r="O311" s="8" t="str">
        <f t="shared" si="29"/>
        <v>Not Fraud</v>
      </c>
      <c r="P311" s="8">
        <v>0</v>
      </c>
      <c r="Q311" s="8" t="s">
        <v>1024</v>
      </c>
      <c r="R311" s="8" t="s">
        <v>1029</v>
      </c>
      <c r="S311" s="8">
        <v>3174</v>
      </c>
      <c r="T311" s="8">
        <v>31</v>
      </c>
      <c r="U311" s="8">
        <v>2643.42</v>
      </c>
      <c r="V311" s="8">
        <v>0.5</v>
      </c>
      <c r="W311" s="8">
        <v>7</v>
      </c>
      <c r="X311" s="8">
        <v>0</v>
      </c>
      <c r="Y311" s="20" t="str">
        <f t="shared" si="24"/>
        <v>Normal</v>
      </c>
      <c r="Z311" s="20">
        <f t="shared" si="25"/>
        <v>-4.2299437001327378E-2</v>
      </c>
      <c r="AA311" s="20">
        <f t="shared" si="26"/>
        <v>0.63480950437142214</v>
      </c>
      <c r="AB311" s="20">
        <f t="shared" si="27"/>
        <v>0.14985976158992473</v>
      </c>
      <c r="AC311" s="20">
        <f t="shared" si="28"/>
        <v>1.4237443872453619</v>
      </c>
      <c r="AD311" s="20"/>
    </row>
    <row r="312" spans="1:30" x14ac:dyDescent="0.45">
      <c r="A312" s="8" t="s">
        <v>491</v>
      </c>
      <c r="B312" s="8" t="s">
        <v>980</v>
      </c>
      <c r="C312" s="8">
        <v>42</v>
      </c>
      <c r="D312" s="8" t="s">
        <v>1010</v>
      </c>
      <c r="E312" s="8" t="s">
        <v>1012</v>
      </c>
      <c r="F312" s="8" t="s">
        <v>1016</v>
      </c>
      <c r="G312" s="8" t="s">
        <v>1022</v>
      </c>
      <c r="H312" s="8">
        <v>87098.44</v>
      </c>
      <c r="I312" s="8">
        <v>684</v>
      </c>
      <c r="J312" s="8">
        <v>0</v>
      </c>
      <c r="K312" s="8">
        <v>1</v>
      </c>
      <c r="L312" s="8">
        <v>1932.97</v>
      </c>
      <c r="M312" s="8">
        <v>199.2</v>
      </c>
      <c r="N312" s="8">
        <v>73671.39</v>
      </c>
      <c r="O312" s="8" t="str">
        <f t="shared" si="29"/>
        <v>Not Fraud</v>
      </c>
      <c r="P312" s="8">
        <v>0</v>
      </c>
      <c r="Q312" s="8" t="s">
        <v>1025</v>
      </c>
      <c r="R312" s="8" t="s">
        <v>1029</v>
      </c>
      <c r="S312" s="8">
        <v>1104</v>
      </c>
      <c r="T312" s="8">
        <v>25</v>
      </c>
      <c r="U312" s="8">
        <v>1353.56</v>
      </c>
      <c r="V312" s="8">
        <v>2.9</v>
      </c>
      <c r="W312" s="8">
        <v>5.4</v>
      </c>
      <c r="X312" s="8">
        <v>0</v>
      </c>
      <c r="Y312" s="20" t="str">
        <f t="shared" si="24"/>
        <v>Normal</v>
      </c>
      <c r="Z312" s="20">
        <f t="shared" si="25"/>
        <v>-3.4077225439172562E-2</v>
      </c>
      <c r="AA312" s="20">
        <f t="shared" si="26"/>
        <v>-0.98265111511215897</v>
      </c>
      <c r="AB312" s="20">
        <f t="shared" si="27"/>
        <v>0.69803082116370396</v>
      </c>
      <c r="AC312" s="20">
        <f t="shared" si="28"/>
        <v>-0.14313597927749705</v>
      </c>
      <c r="AD312" s="20"/>
    </row>
    <row r="313" spans="1:30" x14ac:dyDescent="0.45">
      <c r="A313" s="8" t="s">
        <v>190</v>
      </c>
      <c r="B313" s="8" t="s">
        <v>688</v>
      </c>
      <c r="C313" s="8">
        <v>78.5</v>
      </c>
      <c r="D313" s="8" t="s">
        <v>1009</v>
      </c>
      <c r="E313" s="8" t="s">
        <v>1014</v>
      </c>
      <c r="F313" s="8" t="s">
        <v>1016</v>
      </c>
      <c r="G313" s="8" t="s">
        <v>1023</v>
      </c>
      <c r="H313" s="8">
        <v>44458.53</v>
      </c>
      <c r="I313" s="8">
        <v>593</v>
      </c>
      <c r="J313" s="8">
        <v>1</v>
      </c>
      <c r="K313" s="8">
        <v>0</v>
      </c>
      <c r="L313" s="8">
        <v>1948.62</v>
      </c>
      <c r="M313" s="8">
        <v>1229.3699999999999</v>
      </c>
      <c r="N313" s="8">
        <v>42657.4</v>
      </c>
      <c r="O313" s="8" t="str">
        <f t="shared" si="29"/>
        <v>Fraud</v>
      </c>
      <c r="P313" s="8">
        <v>1</v>
      </c>
      <c r="Q313" s="8" t="s">
        <v>1027</v>
      </c>
      <c r="R313" s="8" t="s">
        <v>1029</v>
      </c>
      <c r="S313" s="8">
        <v>106</v>
      </c>
      <c r="T313" s="8">
        <v>12</v>
      </c>
      <c r="U313" s="8">
        <v>6039.78</v>
      </c>
      <c r="V313" s="8">
        <v>5.8</v>
      </c>
      <c r="W313" s="8">
        <v>3.7</v>
      </c>
      <c r="X313" s="8">
        <v>1232.99</v>
      </c>
      <c r="Y313" s="20" t="str">
        <f t="shared" si="24"/>
        <v>Normal</v>
      </c>
      <c r="Z313" s="20">
        <f t="shared" si="25"/>
        <v>-2.6608994972096442E-2</v>
      </c>
      <c r="AA313" s="20">
        <f t="shared" si="26"/>
        <v>-0.9312400325227953</v>
      </c>
      <c r="AB313" s="20">
        <f t="shared" si="27"/>
        <v>-0.91075489514131469</v>
      </c>
      <c r="AC313" s="20">
        <f t="shared" si="28"/>
        <v>-1.9327963782942583</v>
      </c>
      <c r="AD313" s="20"/>
    </row>
    <row r="314" spans="1:30" x14ac:dyDescent="0.45">
      <c r="A314" s="8" t="s">
        <v>140</v>
      </c>
      <c r="B314" s="8" t="s">
        <v>638</v>
      </c>
      <c r="C314" s="8">
        <v>32.5</v>
      </c>
      <c r="D314" s="8" t="s">
        <v>1010</v>
      </c>
      <c r="E314" s="8" t="s">
        <v>1012</v>
      </c>
      <c r="F314" s="8" t="s">
        <v>1019</v>
      </c>
      <c r="G314" s="8" t="s">
        <v>1022</v>
      </c>
      <c r="H314" s="8">
        <v>101632.4</v>
      </c>
      <c r="I314" s="8">
        <v>581</v>
      </c>
      <c r="J314" s="8">
        <v>0</v>
      </c>
      <c r="K314" s="8">
        <v>1</v>
      </c>
      <c r="L314" s="8">
        <v>1950.78</v>
      </c>
      <c r="M314" s="8">
        <v>23060.16</v>
      </c>
      <c r="N314" s="8">
        <v>57109.63</v>
      </c>
      <c r="O314" s="8" t="str">
        <f t="shared" si="29"/>
        <v>Not Fraud</v>
      </c>
      <c r="P314" s="8">
        <v>0</v>
      </c>
      <c r="Q314" s="8" t="s">
        <v>1024</v>
      </c>
      <c r="R314" s="8" t="s">
        <v>1026</v>
      </c>
      <c r="S314" s="8">
        <v>4968</v>
      </c>
      <c r="T314" s="8">
        <v>216</v>
      </c>
      <c r="U314" s="8">
        <v>8060.52</v>
      </c>
      <c r="V314" s="8">
        <v>0.5</v>
      </c>
      <c r="W314" s="8">
        <v>3.4</v>
      </c>
      <c r="X314" s="8">
        <v>0</v>
      </c>
      <c r="Y314" s="20" t="str">
        <f t="shared" si="24"/>
        <v>Normal</v>
      </c>
      <c r="Z314" s="20">
        <f t="shared" si="25"/>
        <v>-2.5578236006672469E-2</v>
      </c>
      <c r="AA314" s="20">
        <f t="shared" si="26"/>
        <v>0.15823505186236164</v>
      </c>
      <c r="AB314" s="20">
        <f t="shared" si="27"/>
        <v>-0.16107576024912976</v>
      </c>
      <c r="AC314" s="20">
        <f t="shared" si="28"/>
        <v>0.46687592395807809</v>
      </c>
      <c r="AD314" s="20"/>
    </row>
    <row r="315" spans="1:30" x14ac:dyDescent="0.45">
      <c r="A315" s="8" t="s">
        <v>265</v>
      </c>
      <c r="B315" s="8" t="s">
        <v>763</v>
      </c>
      <c r="C315" s="8">
        <v>57.6</v>
      </c>
      <c r="D315" s="8" t="s">
        <v>1010</v>
      </c>
      <c r="E315" s="8" t="s">
        <v>1012</v>
      </c>
      <c r="F315" s="8" t="s">
        <v>1016</v>
      </c>
      <c r="G315" s="8" t="s">
        <v>1021</v>
      </c>
      <c r="H315" s="8">
        <v>87434.29</v>
      </c>
      <c r="I315" s="8">
        <v>497</v>
      </c>
      <c r="J315" s="8">
        <v>0</v>
      </c>
      <c r="K315" s="8">
        <v>1</v>
      </c>
      <c r="L315" s="8">
        <v>1951.75</v>
      </c>
      <c r="M315" s="8">
        <v>6261.3</v>
      </c>
      <c r="N315" s="8">
        <v>36383.74</v>
      </c>
      <c r="O315" s="8" t="str">
        <f t="shared" si="29"/>
        <v>Not Fraud</v>
      </c>
      <c r="P315" s="8">
        <v>0</v>
      </c>
      <c r="Q315" s="8" t="s">
        <v>1024</v>
      </c>
      <c r="R315" s="8" t="s">
        <v>1028</v>
      </c>
      <c r="S315" s="8">
        <v>1573</v>
      </c>
      <c r="T315" s="8">
        <v>50</v>
      </c>
      <c r="U315" s="8">
        <v>9844.58</v>
      </c>
      <c r="V315" s="8">
        <v>4.4000000000000004</v>
      </c>
      <c r="W315" s="8">
        <v>7.3</v>
      </c>
      <c r="X315" s="8">
        <v>0</v>
      </c>
      <c r="Y315" s="20" t="str">
        <f t="shared" si="24"/>
        <v>Normal</v>
      </c>
      <c r="Z315" s="20">
        <f t="shared" si="25"/>
        <v>-2.5115348878681155E-2</v>
      </c>
      <c r="AA315" s="20">
        <f t="shared" si="26"/>
        <v>-0.680119373977218</v>
      </c>
      <c r="AB315" s="20">
        <f t="shared" si="27"/>
        <v>-1.236187856103582</v>
      </c>
      <c r="AC315" s="20">
        <f t="shared" si="28"/>
        <v>-0.12903985559877063</v>
      </c>
      <c r="AD315" s="20"/>
    </row>
    <row r="316" spans="1:30" x14ac:dyDescent="0.45">
      <c r="A316" s="8" t="s">
        <v>383</v>
      </c>
      <c r="B316" s="8" t="s">
        <v>877</v>
      </c>
      <c r="C316" s="8">
        <v>57.8</v>
      </c>
      <c r="D316" s="8" t="s">
        <v>1009</v>
      </c>
      <c r="E316" s="8" t="s">
        <v>1012</v>
      </c>
      <c r="F316" s="8" t="s">
        <v>1019</v>
      </c>
      <c r="G316" s="8" t="s">
        <v>1020</v>
      </c>
      <c r="H316" s="8">
        <v>92344.25</v>
      </c>
      <c r="I316" s="8">
        <v>636</v>
      </c>
      <c r="J316" s="8">
        <v>1</v>
      </c>
      <c r="K316" s="8">
        <v>1</v>
      </c>
      <c r="L316" s="8">
        <v>1962.15</v>
      </c>
      <c r="M316" s="8">
        <v>41278.160000000003</v>
      </c>
      <c r="N316" s="8">
        <v>92344.25</v>
      </c>
      <c r="O316" s="8" t="str">
        <f t="shared" si="29"/>
        <v>Not Fraud</v>
      </c>
      <c r="P316" s="8">
        <v>0</v>
      </c>
      <c r="Q316" s="8" t="s">
        <v>1027</v>
      </c>
      <c r="R316" s="8" t="s">
        <v>1028</v>
      </c>
      <c r="S316" s="8">
        <v>4844</v>
      </c>
      <c r="T316" s="8">
        <v>122</v>
      </c>
      <c r="U316" s="8">
        <v>3237.48</v>
      </c>
      <c r="V316" s="8">
        <v>4.5</v>
      </c>
      <c r="W316" s="8">
        <v>4.0999999999999996</v>
      </c>
      <c r="X316" s="8">
        <v>0</v>
      </c>
      <c r="Y316" s="20" t="str">
        <f t="shared" si="24"/>
        <v>Normal</v>
      </c>
      <c r="Z316" s="20">
        <f t="shared" si="25"/>
        <v>-2.0152435341454764E-2</v>
      </c>
      <c r="AA316" s="20">
        <f t="shared" si="26"/>
        <v>1.0674122775756223</v>
      </c>
      <c r="AB316" s="20">
        <f t="shared" si="27"/>
        <v>1.6666462895559788</v>
      </c>
      <c r="AC316" s="20">
        <f t="shared" si="28"/>
        <v>7.7038463346000799E-2</v>
      </c>
      <c r="AD316" s="20"/>
    </row>
    <row r="317" spans="1:30" x14ac:dyDescent="0.45">
      <c r="A317" s="8" t="s">
        <v>406</v>
      </c>
      <c r="B317" s="8" t="s">
        <v>898</v>
      </c>
      <c r="C317" s="8">
        <v>42.1</v>
      </c>
      <c r="D317" s="8" t="s">
        <v>1009</v>
      </c>
      <c r="E317" s="8" t="s">
        <v>1012</v>
      </c>
      <c r="F317" s="8" t="s">
        <v>1016</v>
      </c>
      <c r="G317" s="8" t="s">
        <v>1021</v>
      </c>
      <c r="H317" s="8">
        <v>103214.15</v>
      </c>
      <c r="I317" s="8">
        <v>620</v>
      </c>
      <c r="J317" s="8">
        <v>0</v>
      </c>
      <c r="K317" s="8">
        <v>0</v>
      </c>
      <c r="L317" s="8">
        <v>1966.15</v>
      </c>
      <c r="M317" s="8">
        <v>42285.56</v>
      </c>
      <c r="N317" s="8">
        <v>66393.039999999994</v>
      </c>
      <c r="O317" s="8" t="str">
        <f t="shared" si="29"/>
        <v>Not Fraud</v>
      </c>
      <c r="P317" s="8">
        <v>0</v>
      </c>
      <c r="Q317" s="8" t="s">
        <v>1026</v>
      </c>
      <c r="R317" s="8" t="s">
        <v>1028</v>
      </c>
      <c r="S317" s="8">
        <v>1895</v>
      </c>
      <c r="T317" s="8">
        <v>137</v>
      </c>
      <c r="U317" s="8">
        <v>6743.33</v>
      </c>
      <c r="V317" s="8">
        <v>3.6</v>
      </c>
      <c r="W317" s="8">
        <v>5.3</v>
      </c>
      <c r="X317" s="8">
        <v>0</v>
      </c>
      <c r="Y317" s="20" t="str">
        <f t="shared" si="24"/>
        <v>Normal</v>
      </c>
      <c r="Z317" s="20">
        <f t="shared" si="25"/>
        <v>-1.8243622442521552E-2</v>
      </c>
      <c r="AA317" s="20">
        <f t="shared" si="26"/>
        <v>1.1176870133964332</v>
      </c>
      <c r="AB317" s="20">
        <f t="shared" si="27"/>
        <v>0.32048167259337673</v>
      </c>
      <c r="AC317" s="20">
        <f t="shared" si="28"/>
        <v>0.53326432243604771</v>
      </c>
      <c r="AD317" s="20"/>
    </row>
    <row r="318" spans="1:30" x14ac:dyDescent="0.45">
      <c r="A318" s="8" t="s">
        <v>116</v>
      </c>
      <c r="B318" s="8" t="s">
        <v>616</v>
      </c>
      <c r="C318" s="8">
        <v>45.1</v>
      </c>
      <c r="D318" s="8" t="s">
        <v>1009</v>
      </c>
      <c r="E318" s="8" t="s">
        <v>1014</v>
      </c>
      <c r="F318" s="8" t="s">
        <v>1019</v>
      </c>
      <c r="G318" s="8" t="s">
        <v>1021</v>
      </c>
      <c r="H318" s="8">
        <v>130749.44</v>
      </c>
      <c r="I318" s="8">
        <v>582</v>
      </c>
      <c r="J318" s="8">
        <v>0</v>
      </c>
      <c r="K318" s="8">
        <v>1</v>
      </c>
      <c r="L318" s="8">
        <v>1971.3</v>
      </c>
      <c r="M318" s="8">
        <v>1476.28</v>
      </c>
      <c r="N318" s="8">
        <v>78950.53</v>
      </c>
      <c r="O318" s="8" t="str">
        <f t="shared" si="29"/>
        <v>Fraud</v>
      </c>
      <c r="P318" s="8">
        <v>1</v>
      </c>
      <c r="Q318" s="8" t="s">
        <v>1025</v>
      </c>
      <c r="R318" s="8" t="s">
        <v>1029</v>
      </c>
      <c r="S318" s="8">
        <v>1642</v>
      </c>
      <c r="T318" s="8">
        <v>175</v>
      </c>
      <c r="U318" s="8">
        <v>6401.35</v>
      </c>
      <c r="V318" s="8">
        <v>2.4</v>
      </c>
      <c r="W318" s="8">
        <v>7.5</v>
      </c>
      <c r="X318" s="8">
        <v>1568.76</v>
      </c>
      <c r="Y318" s="20" t="str">
        <f t="shared" si="24"/>
        <v>Normal</v>
      </c>
      <c r="Z318" s="20">
        <f t="shared" si="25"/>
        <v>-1.5786025835145108E-2</v>
      </c>
      <c r="AA318" s="20">
        <f t="shared" si="26"/>
        <v>-0.91891788141944364</v>
      </c>
      <c r="AB318" s="20">
        <f t="shared" si="27"/>
        <v>0.97187514194843605</v>
      </c>
      <c r="AC318" s="20">
        <f t="shared" si="28"/>
        <v>1.6889613698369979</v>
      </c>
      <c r="AD318" s="20"/>
    </row>
    <row r="319" spans="1:30" x14ac:dyDescent="0.45">
      <c r="A319" s="8" t="s">
        <v>243</v>
      </c>
      <c r="B319" s="8" t="s">
        <v>741</v>
      </c>
      <c r="C319" s="8">
        <v>84.7</v>
      </c>
      <c r="D319" s="8" t="s">
        <v>1010</v>
      </c>
      <c r="E319" s="8" t="s">
        <v>1014</v>
      </c>
      <c r="F319" s="8" t="s">
        <v>1019</v>
      </c>
      <c r="G319" s="8" t="s">
        <v>1023</v>
      </c>
      <c r="H319" s="8">
        <v>56846.58</v>
      </c>
      <c r="I319" s="8">
        <v>592</v>
      </c>
      <c r="J319" s="8">
        <v>0</v>
      </c>
      <c r="K319" s="8">
        <v>0</v>
      </c>
      <c r="L319" s="8">
        <v>1971.46</v>
      </c>
      <c r="M319" s="8">
        <v>17581.240000000002</v>
      </c>
      <c r="N319" s="8">
        <v>36211.760000000002</v>
      </c>
      <c r="O319" s="8" t="str">
        <f t="shared" si="29"/>
        <v>Fraud</v>
      </c>
      <c r="P319" s="8">
        <v>1</v>
      </c>
      <c r="Q319" s="8" t="s">
        <v>1027</v>
      </c>
      <c r="R319" s="8" t="s">
        <v>1028</v>
      </c>
      <c r="S319" s="8">
        <v>4113</v>
      </c>
      <c r="T319" s="8">
        <v>104</v>
      </c>
      <c r="U319" s="8">
        <v>2292.4299999999998</v>
      </c>
      <c r="V319" s="8">
        <v>2.9</v>
      </c>
      <c r="W319" s="8">
        <v>7.6</v>
      </c>
      <c r="X319" s="8">
        <v>1459.13</v>
      </c>
      <c r="Y319" s="20" t="str">
        <f t="shared" si="24"/>
        <v>Normal</v>
      </c>
      <c r="Z319" s="20">
        <f t="shared" si="25"/>
        <v>-1.5709673319187743E-2</v>
      </c>
      <c r="AA319" s="20">
        <f t="shared" si="26"/>
        <v>-0.11519283734089311</v>
      </c>
      <c r="AB319" s="20">
        <f t="shared" si="27"/>
        <v>-1.2451089580801458</v>
      </c>
      <c r="AC319" s="20">
        <f t="shared" si="28"/>
        <v>-1.4128515072558441</v>
      </c>
      <c r="AD319" s="20"/>
    </row>
    <row r="320" spans="1:30" x14ac:dyDescent="0.45">
      <c r="A320" s="8" t="s">
        <v>107</v>
      </c>
      <c r="B320" s="8" t="s">
        <v>607</v>
      </c>
      <c r="C320" s="8">
        <v>37.9</v>
      </c>
      <c r="D320" s="8" t="s">
        <v>1009</v>
      </c>
      <c r="E320" s="8" t="s">
        <v>1013</v>
      </c>
      <c r="F320" s="8" t="s">
        <v>1016</v>
      </c>
      <c r="G320" s="8" t="s">
        <v>1021</v>
      </c>
      <c r="H320" s="8">
        <v>96351.77</v>
      </c>
      <c r="I320" s="8">
        <v>504</v>
      </c>
      <c r="J320" s="8">
        <v>0</v>
      </c>
      <c r="K320" s="8">
        <v>0</v>
      </c>
      <c r="L320" s="8">
        <v>1977.89</v>
      </c>
      <c r="M320" s="8">
        <v>1050.0999999999999</v>
      </c>
      <c r="N320" s="8">
        <v>56101.83</v>
      </c>
      <c r="O320" s="8" t="str">
        <f t="shared" si="29"/>
        <v>Not Fraud</v>
      </c>
      <c r="P320" s="8">
        <v>0</v>
      </c>
      <c r="Q320" s="8" t="s">
        <v>1024</v>
      </c>
      <c r="R320" s="8" t="s">
        <v>1030</v>
      </c>
      <c r="S320" s="8">
        <v>4693</v>
      </c>
      <c r="T320" s="8">
        <v>139</v>
      </c>
      <c r="U320" s="8">
        <v>928.93</v>
      </c>
      <c r="V320" s="8">
        <v>6.8</v>
      </c>
      <c r="W320" s="8">
        <v>6.3</v>
      </c>
      <c r="X320" s="8">
        <v>0</v>
      </c>
      <c r="Y320" s="20" t="str">
        <f t="shared" si="24"/>
        <v>Normal</v>
      </c>
      <c r="Z320" s="20">
        <f t="shared" si="25"/>
        <v>-1.2641256584152575E-2</v>
      </c>
      <c r="AA320" s="20">
        <f t="shared" si="26"/>
        <v>-0.94018657996233945</v>
      </c>
      <c r="AB320" s="20">
        <f t="shared" si="27"/>
        <v>-0.21335327258766443</v>
      </c>
      <c r="AC320" s="20">
        <f t="shared" si="28"/>
        <v>0.24524003418110946</v>
      </c>
      <c r="AD320" s="20"/>
    </row>
    <row r="321" spans="1:30" x14ac:dyDescent="0.45">
      <c r="A321" s="8" t="s">
        <v>460</v>
      </c>
      <c r="B321" s="8" t="s">
        <v>950</v>
      </c>
      <c r="C321" s="8">
        <v>29.3</v>
      </c>
      <c r="D321" s="8" t="s">
        <v>1010</v>
      </c>
      <c r="E321" s="8" t="s">
        <v>1014</v>
      </c>
      <c r="F321" s="8" t="s">
        <v>1016</v>
      </c>
      <c r="G321" s="8" t="s">
        <v>1021</v>
      </c>
      <c r="H321" s="8">
        <v>118256.1</v>
      </c>
      <c r="I321" s="8">
        <v>578</v>
      </c>
      <c r="J321" s="8">
        <v>0</v>
      </c>
      <c r="K321" s="8">
        <v>1</v>
      </c>
      <c r="L321" s="8">
        <v>1978.83</v>
      </c>
      <c r="M321" s="8">
        <v>4.54</v>
      </c>
      <c r="N321" s="8">
        <v>75578.73</v>
      </c>
      <c r="O321" s="8" t="str">
        <f t="shared" si="29"/>
        <v>Not Fraud</v>
      </c>
      <c r="P321" s="8">
        <v>0</v>
      </c>
      <c r="Q321" s="8" t="s">
        <v>1026</v>
      </c>
      <c r="R321" s="8" t="s">
        <v>1029</v>
      </c>
      <c r="S321" s="8">
        <v>382</v>
      </c>
      <c r="T321" s="8">
        <v>270</v>
      </c>
      <c r="U321" s="8">
        <v>3973.31</v>
      </c>
      <c r="V321" s="8">
        <v>5.9</v>
      </c>
      <c r="W321" s="8">
        <v>3.4</v>
      </c>
      <c r="X321" s="8">
        <v>0</v>
      </c>
      <c r="Y321" s="20" t="str">
        <f t="shared" si="24"/>
        <v>Normal</v>
      </c>
      <c r="Z321" s="20">
        <f t="shared" si="25"/>
        <v>-1.2192685552903353E-2</v>
      </c>
      <c r="AA321" s="20">
        <f t="shared" si="26"/>
        <v>-0.99236570720554707</v>
      </c>
      <c r="AB321" s="20">
        <f t="shared" si="27"/>
        <v>0.79697008528732072</v>
      </c>
      <c r="AC321" s="20">
        <f t="shared" si="28"/>
        <v>1.1645973210045295</v>
      </c>
      <c r="AD321" s="20"/>
    </row>
    <row r="322" spans="1:30" x14ac:dyDescent="0.45">
      <c r="A322" s="8" t="s">
        <v>43</v>
      </c>
      <c r="B322" s="8" t="s">
        <v>543</v>
      </c>
      <c r="C322" s="8">
        <v>72</v>
      </c>
      <c r="D322" s="8" t="s">
        <v>1009</v>
      </c>
      <c r="E322" s="8" t="s">
        <v>1013</v>
      </c>
      <c r="F322" s="8" t="s">
        <v>1019</v>
      </c>
      <c r="G322" s="8" t="s">
        <v>1023</v>
      </c>
      <c r="H322" s="8">
        <v>112955.74</v>
      </c>
      <c r="I322" s="8">
        <v>529</v>
      </c>
      <c r="J322" s="8">
        <v>0</v>
      </c>
      <c r="K322" s="8">
        <v>1</v>
      </c>
      <c r="L322" s="8">
        <v>1986.79</v>
      </c>
      <c r="M322" s="8">
        <v>35281.279999999999</v>
      </c>
      <c r="N322" s="8">
        <v>57853.96</v>
      </c>
      <c r="O322" s="8" t="str">
        <f t="shared" si="29"/>
        <v>Fraud</v>
      </c>
      <c r="P322" s="8">
        <v>1</v>
      </c>
      <c r="Q322" s="8" t="s">
        <v>1026</v>
      </c>
      <c r="R322" s="8" t="s">
        <v>1029</v>
      </c>
      <c r="S322" s="8">
        <v>2200</v>
      </c>
      <c r="T322" s="8">
        <v>296</v>
      </c>
      <c r="U322" s="8">
        <v>6405.54</v>
      </c>
      <c r="V322" s="8">
        <v>2.8</v>
      </c>
      <c r="W322" s="8">
        <v>6.6</v>
      </c>
      <c r="X322" s="8">
        <v>1558.79</v>
      </c>
      <c r="Y322" s="20" t="str">
        <f t="shared" ref="Y322:Y385" si="30">IF(OR(L322&lt;$AF$10,L322&gt;$AF$11),"Outlier","Normal")</f>
        <v>Normal</v>
      </c>
      <c r="Z322" s="20">
        <f t="shared" ref="Z322:Z385" si="31">(L322-$AK$9)/$AM$9</f>
        <v>-8.3941478840262474E-3</v>
      </c>
      <c r="AA322" s="20">
        <f t="shared" ref="AA322:AA385" si="32">(M322-$AK$6)/$AM$6</f>
        <v>0.76813536895034273</v>
      </c>
      <c r="AB322" s="20">
        <f t="shared" ref="AB322:AB385" si="33">(N322-$AK$3)/$AM$3</f>
        <v>-0.12246520184573446</v>
      </c>
      <c r="AC322" s="20">
        <f t="shared" ref="AC322:AC385" si="34">(H322-$AK$4)/$AM$4</f>
        <v>0.94213333380257525</v>
      </c>
      <c r="AD322" s="20"/>
    </row>
    <row r="323" spans="1:30" x14ac:dyDescent="0.45">
      <c r="A323" s="8" t="s">
        <v>74</v>
      </c>
      <c r="B323" s="8" t="s">
        <v>574</v>
      </c>
      <c r="C323" s="8">
        <v>44.2</v>
      </c>
      <c r="D323" s="8" t="s">
        <v>1009</v>
      </c>
      <c r="E323" s="8" t="s">
        <v>1015</v>
      </c>
      <c r="F323" s="8" t="s">
        <v>1016</v>
      </c>
      <c r="G323" s="8" t="s">
        <v>1022</v>
      </c>
      <c r="H323" s="8">
        <v>54397.69</v>
      </c>
      <c r="I323" s="8">
        <v>768</v>
      </c>
      <c r="J323" s="8">
        <v>0</v>
      </c>
      <c r="K323" s="8">
        <v>0</v>
      </c>
      <c r="L323" s="8">
        <v>1988.61</v>
      </c>
      <c r="M323" s="8">
        <v>4875.42</v>
      </c>
      <c r="N323" s="8">
        <v>29940.59</v>
      </c>
      <c r="O323" s="8" t="str">
        <f t="shared" ref="O323:O386" si="35">IF(P323=1, "Fraud", "Not Fraud")</f>
        <v>Not Fraud</v>
      </c>
      <c r="P323" s="8">
        <v>0</v>
      </c>
      <c r="Q323" s="8" t="s">
        <v>1024</v>
      </c>
      <c r="R323" s="8" t="s">
        <v>1029</v>
      </c>
      <c r="S323" s="8">
        <v>613</v>
      </c>
      <c r="T323" s="8">
        <v>249</v>
      </c>
      <c r="U323" s="8">
        <v>5232.08</v>
      </c>
      <c r="V323" s="8">
        <v>1.6</v>
      </c>
      <c r="W323" s="8">
        <v>4.3</v>
      </c>
      <c r="X323" s="8">
        <v>0</v>
      </c>
      <c r="Y323" s="20" t="str">
        <f t="shared" si="30"/>
        <v>Normal</v>
      </c>
      <c r="Z323" s="20">
        <f t="shared" si="31"/>
        <v>-7.5256380150116667E-3</v>
      </c>
      <c r="AA323" s="20">
        <f t="shared" si="32"/>
        <v>-0.74928231906292952</v>
      </c>
      <c r="AB323" s="20">
        <f t="shared" si="33"/>
        <v>-1.5704127555122256</v>
      </c>
      <c r="AC323" s="20">
        <f t="shared" si="34"/>
        <v>-1.5156350603765743</v>
      </c>
      <c r="AD323" s="20"/>
    </row>
    <row r="324" spans="1:30" x14ac:dyDescent="0.45">
      <c r="A324" s="8" t="s">
        <v>135</v>
      </c>
      <c r="B324" s="8" t="s">
        <v>633</v>
      </c>
      <c r="C324" s="8">
        <v>50.9</v>
      </c>
      <c r="D324" s="8" t="s">
        <v>1010</v>
      </c>
      <c r="E324" s="8" t="s">
        <v>1013</v>
      </c>
      <c r="F324" s="8" t="s">
        <v>1016</v>
      </c>
      <c r="G324" s="8" t="s">
        <v>1020</v>
      </c>
      <c r="H324" s="8">
        <v>85285.13</v>
      </c>
      <c r="I324" s="8">
        <v>671</v>
      </c>
      <c r="J324" s="8">
        <v>0</v>
      </c>
      <c r="K324" s="8">
        <v>0</v>
      </c>
      <c r="L324" s="8">
        <v>1996.87</v>
      </c>
      <c r="M324" s="8">
        <v>2631.44</v>
      </c>
      <c r="N324" s="8">
        <v>59469.57</v>
      </c>
      <c r="O324" s="8" t="str">
        <f t="shared" si="35"/>
        <v>Fraud</v>
      </c>
      <c r="P324" s="8">
        <v>1</v>
      </c>
      <c r="Q324" s="8" t="s">
        <v>1026</v>
      </c>
      <c r="R324" s="8" t="s">
        <v>1029</v>
      </c>
      <c r="S324" s="8">
        <v>2516</v>
      </c>
      <c r="T324" s="8">
        <v>48</v>
      </c>
      <c r="U324" s="8">
        <v>7272.51</v>
      </c>
      <c r="V324" s="8">
        <v>5.0999999999999996</v>
      </c>
      <c r="W324" s="8">
        <v>5.0999999999999996</v>
      </c>
      <c r="X324" s="8">
        <v>1009.99</v>
      </c>
      <c r="Y324" s="20" t="str">
        <f t="shared" si="30"/>
        <v>Normal</v>
      </c>
      <c r="Z324" s="20">
        <f t="shared" si="31"/>
        <v>-3.5839393787145909E-3</v>
      </c>
      <c r="AA324" s="20">
        <f t="shared" si="32"/>
        <v>-0.86126911843476195</v>
      </c>
      <c r="AB324" s="20">
        <f t="shared" si="33"/>
        <v>-3.8658819915529677E-2</v>
      </c>
      <c r="AC324" s="20">
        <f t="shared" si="34"/>
        <v>-0.21924329512645355</v>
      </c>
      <c r="AD324" s="20"/>
    </row>
    <row r="325" spans="1:30" x14ac:dyDescent="0.45">
      <c r="A325" s="8" t="s">
        <v>61</v>
      </c>
      <c r="B325" s="8" t="s">
        <v>561</v>
      </c>
      <c r="C325" s="8">
        <v>30.1</v>
      </c>
      <c r="D325" s="8" t="s">
        <v>1010</v>
      </c>
      <c r="E325" s="8" t="s">
        <v>1015</v>
      </c>
      <c r="F325" s="8" t="s">
        <v>1019</v>
      </c>
      <c r="G325" s="8" t="s">
        <v>1020</v>
      </c>
      <c r="H325" s="8">
        <v>65104.28</v>
      </c>
      <c r="I325" s="8">
        <v>634</v>
      </c>
      <c r="J325" s="8">
        <v>1</v>
      </c>
      <c r="K325" s="8">
        <v>0</v>
      </c>
      <c r="L325" s="8">
        <v>2028.37</v>
      </c>
      <c r="M325" s="8">
        <v>446.26</v>
      </c>
      <c r="N325" s="8">
        <v>38545.14</v>
      </c>
      <c r="O325" s="8" t="str">
        <f t="shared" si="35"/>
        <v>Fraud</v>
      </c>
      <c r="P325" s="8">
        <v>1</v>
      </c>
      <c r="Q325" s="8" t="s">
        <v>1026</v>
      </c>
      <c r="R325" s="8" t="s">
        <v>1028</v>
      </c>
      <c r="S325" s="8">
        <v>3561</v>
      </c>
      <c r="T325" s="8">
        <v>260</v>
      </c>
      <c r="U325" s="8">
        <v>3172.81</v>
      </c>
      <c r="V325" s="8">
        <v>2.7</v>
      </c>
      <c r="W325" s="8">
        <v>4.5</v>
      </c>
      <c r="X325" s="8">
        <v>1194.28</v>
      </c>
      <c r="Y325" s="20" t="str">
        <f t="shared" si="30"/>
        <v>Normal</v>
      </c>
      <c r="Z325" s="20">
        <f t="shared" si="31"/>
        <v>1.1447962200384442E-2</v>
      </c>
      <c r="AA325" s="20">
        <f t="shared" si="32"/>
        <v>-0.97032147819346781</v>
      </c>
      <c r="AB325" s="20">
        <f t="shared" si="33"/>
        <v>-1.1240697620685458</v>
      </c>
      <c r="AC325" s="20">
        <f t="shared" si="34"/>
        <v>-1.0662635647165493</v>
      </c>
      <c r="AD325" s="20"/>
    </row>
    <row r="326" spans="1:30" x14ac:dyDescent="0.45">
      <c r="A326" s="8" t="s">
        <v>373</v>
      </c>
      <c r="B326" s="8" t="s">
        <v>868</v>
      </c>
      <c r="C326" s="8">
        <v>54.7</v>
      </c>
      <c r="D326" s="8" t="s">
        <v>1010</v>
      </c>
      <c r="E326" s="8" t="s">
        <v>1014</v>
      </c>
      <c r="F326" s="8" t="s">
        <v>1019</v>
      </c>
      <c r="G326" s="8" t="s">
        <v>1021</v>
      </c>
      <c r="H326" s="8">
        <v>95582.48</v>
      </c>
      <c r="I326" s="8">
        <v>548</v>
      </c>
      <c r="J326" s="8">
        <v>1</v>
      </c>
      <c r="K326" s="8">
        <v>0</v>
      </c>
      <c r="L326" s="8">
        <v>2028.92</v>
      </c>
      <c r="M326" s="8">
        <v>27872.43</v>
      </c>
      <c r="N326" s="8">
        <v>35776.559999999998</v>
      </c>
      <c r="O326" s="8" t="str">
        <f t="shared" si="35"/>
        <v>Fraud</v>
      </c>
      <c r="P326" s="8">
        <v>1</v>
      </c>
      <c r="Q326" s="8" t="s">
        <v>1025</v>
      </c>
      <c r="R326" s="8" t="s">
        <v>1026</v>
      </c>
      <c r="S326" s="8">
        <v>353</v>
      </c>
      <c r="T326" s="8">
        <v>286</v>
      </c>
      <c r="U326" s="8">
        <v>3526.65</v>
      </c>
      <c r="V326" s="8">
        <v>1.6</v>
      </c>
      <c r="W326" s="8">
        <v>4.4000000000000004</v>
      </c>
      <c r="X326" s="8">
        <v>1607.91</v>
      </c>
      <c r="Y326" s="20" t="str">
        <f t="shared" si="30"/>
        <v>Normal</v>
      </c>
      <c r="Z326" s="20">
        <f t="shared" si="31"/>
        <v>1.1710423973987845E-2</v>
      </c>
      <c r="AA326" s="20">
        <f t="shared" si="32"/>
        <v>0.39839348242461609</v>
      </c>
      <c r="AB326" s="20">
        <f t="shared" si="33"/>
        <v>-1.2676840457659273</v>
      </c>
      <c r="AC326" s="20">
        <f t="shared" si="34"/>
        <v>0.21295178947422291</v>
      </c>
      <c r="AD326" s="20"/>
    </row>
    <row r="327" spans="1:30" x14ac:dyDescent="0.45">
      <c r="A327" s="8" t="s">
        <v>504</v>
      </c>
      <c r="B327" s="8" t="s">
        <v>992</v>
      </c>
      <c r="C327" s="8">
        <v>35.700000000000003</v>
      </c>
      <c r="D327" s="8" t="s">
        <v>1009</v>
      </c>
      <c r="E327" s="8" t="s">
        <v>1011</v>
      </c>
      <c r="F327" s="8" t="s">
        <v>1018</v>
      </c>
      <c r="G327" s="8" t="s">
        <v>1021</v>
      </c>
      <c r="H327" s="8">
        <v>116057.43</v>
      </c>
      <c r="I327" s="8">
        <v>806</v>
      </c>
      <c r="J327" s="8">
        <v>0</v>
      </c>
      <c r="K327" s="8">
        <v>1</v>
      </c>
      <c r="L327" s="8">
        <v>2033.46</v>
      </c>
      <c r="M327" s="8">
        <v>8480.11</v>
      </c>
      <c r="N327" s="8">
        <v>90674.55</v>
      </c>
      <c r="O327" s="8" t="str">
        <f t="shared" si="35"/>
        <v>Not Fraud</v>
      </c>
      <c r="P327" s="8">
        <v>0</v>
      </c>
      <c r="Q327" s="8" t="s">
        <v>1026</v>
      </c>
      <c r="R327" s="8" t="s">
        <v>1029</v>
      </c>
      <c r="S327" s="8">
        <v>3082</v>
      </c>
      <c r="T327" s="8">
        <v>160</v>
      </c>
      <c r="U327" s="8">
        <v>4284.87</v>
      </c>
      <c r="V327" s="8">
        <v>3.4</v>
      </c>
      <c r="W327" s="8">
        <v>2.2999999999999998</v>
      </c>
      <c r="X327" s="8">
        <v>0</v>
      </c>
      <c r="Y327" s="20" t="str">
        <f t="shared" si="30"/>
        <v>Normal</v>
      </c>
      <c r="Z327" s="20">
        <f t="shared" si="31"/>
        <v>1.3876926614277021E-2</v>
      </c>
      <c r="AA327" s="20">
        <f t="shared" si="32"/>
        <v>-0.5693886944193719</v>
      </c>
      <c r="AB327" s="20">
        <f t="shared" si="33"/>
        <v>1.5800341022651954</v>
      </c>
      <c r="AC327" s="20">
        <f t="shared" si="34"/>
        <v>1.0723158731894145</v>
      </c>
      <c r="AD327" s="20"/>
    </row>
    <row r="328" spans="1:30" x14ac:dyDescent="0.45">
      <c r="A328" s="8" t="s">
        <v>269</v>
      </c>
      <c r="B328" s="8" t="s">
        <v>766</v>
      </c>
      <c r="C328" s="8">
        <v>42.9</v>
      </c>
      <c r="D328" s="8" t="s">
        <v>1010</v>
      </c>
      <c r="E328" s="8" t="s">
        <v>1013</v>
      </c>
      <c r="F328" s="8" t="s">
        <v>1016</v>
      </c>
      <c r="G328" s="8" t="s">
        <v>1022</v>
      </c>
      <c r="H328" s="8">
        <v>103218.15</v>
      </c>
      <c r="I328" s="8">
        <v>643</v>
      </c>
      <c r="J328" s="8">
        <v>0</v>
      </c>
      <c r="K328" s="8">
        <v>0</v>
      </c>
      <c r="L328" s="8">
        <v>2038.87</v>
      </c>
      <c r="M328" s="8">
        <v>16199.63</v>
      </c>
      <c r="N328" s="8">
        <v>68769.509999999995</v>
      </c>
      <c r="O328" s="8" t="str">
        <f t="shared" si="35"/>
        <v>Not Fraud</v>
      </c>
      <c r="P328" s="8">
        <v>0</v>
      </c>
      <c r="Q328" s="8" t="s">
        <v>1026</v>
      </c>
      <c r="R328" s="8" t="s">
        <v>1030</v>
      </c>
      <c r="S328" s="8">
        <v>2782</v>
      </c>
      <c r="T328" s="8">
        <v>54</v>
      </c>
      <c r="U328" s="8">
        <v>7494.09</v>
      </c>
      <c r="V328" s="8">
        <v>3.4</v>
      </c>
      <c r="W328" s="8">
        <v>5.3</v>
      </c>
      <c r="X328" s="8">
        <v>0</v>
      </c>
      <c r="Y328" s="20" t="str">
        <f t="shared" si="30"/>
        <v>Normal</v>
      </c>
      <c r="Z328" s="20">
        <f t="shared" si="31"/>
        <v>1.6458596060084121E-2</v>
      </c>
      <c r="AA328" s="20">
        <f t="shared" si="32"/>
        <v>-0.18414268621660396</v>
      </c>
      <c r="AB328" s="20">
        <f t="shared" si="33"/>
        <v>0.44375607202496836</v>
      </c>
      <c r="AC328" s="20">
        <f t="shared" si="34"/>
        <v>0.53343220838130567</v>
      </c>
      <c r="AD328" s="20"/>
    </row>
    <row r="329" spans="1:30" x14ac:dyDescent="0.45">
      <c r="A329" s="8" t="s">
        <v>426</v>
      </c>
      <c r="B329" s="8" t="s">
        <v>916</v>
      </c>
      <c r="C329" s="8">
        <v>50.7</v>
      </c>
      <c r="D329" s="8" t="s">
        <v>1009</v>
      </c>
      <c r="E329" s="8" t="s">
        <v>1012</v>
      </c>
      <c r="F329" s="8" t="s">
        <v>1016</v>
      </c>
      <c r="G329" s="8" t="s">
        <v>1021</v>
      </c>
      <c r="H329" s="8">
        <v>65527.47</v>
      </c>
      <c r="I329" s="8">
        <v>633</v>
      </c>
      <c r="J329" s="8">
        <v>1</v>
      </c>
      <c r="K329" s="8">
        <v>0</v>
      </c>
      <c r="L329" s="8">
        <v>2058.96</v>
      </c>
      <c r="M329" s="8">
        <v>8838.19</v>
      </c>
      <c r="N329" s="8">
        <v>54969.22</v>
      </c>
      <c r="O329" s="8" t="str">
        <f t="shared" si="35"/>
        <v>Fraud</v>
      </c>
      <c r="P329" s="8">
        <v>1</v>
      </c>
      <c r="Q329" s="8" t="s">
        <v>1024</v>
      </c>
      <c r="R329" s="8" t="s">
        <v>1026</v>
      </c>
      <c r="S329" s="8">
        <v>121</v>
      </c>
      <c r="T329" s="8">
        <v>281</v>
      </c>
      <c r="U329" s="8">
        <v>8218.2800000000007</v>
      </c>
      <c r="V329" s="8">
        <v>4</v>
      </c>
      <c r="W329" s="8">
        <v>9</v>
      </c>
      <c r="X329" s="8">
        <v>1372.93</v>
      </c>
      <c r="Y329" s="20" t="str">
        <f t="shared" si="30"/>
        <v>Normal</v>
      </c>
      <c r="Z329" s="20">
        <f t="shared" si="31"/>
        <v>2.604560884497624E-2</v>
      </c>
      <c r="AA329" s="20">
        <f t="shared" si="32"/>
        <v>-0.55151855604065836</v>
      </c>
      <c r="AB329" s="20">
        <f t="shared" si="33"/>
        <v>-0.27210504203571767</v>
      </c>
      <c r="AC329" s="20">
        <f t="shared" si="34"/>
        <v>-1.0485016514231134</v>
      </c>
      <c r="AD329" s="20"/>
    </row>
    <row r="330" spans="1:30" x14ac:dyDescent="0.45">
      <c r="A330" s="8" t="s">
        <v>471</v>
      </c>
      <c r="B330" s="8" t="s">
        <v>960</v>
      </c>
      <c r="C330" s="8">
        <v>42.3</v>
      </c>
      <c r="D330" s="8" t="s">
        <v>1010</v>
      </c>
      <c r="E330" s="8" t="s">
        <v>1012</v>
      </c>
      <c r="F330" s="8" t="s">
        <v>1018</v>
      </c>
      <c r="G330" s="8" t="s">
        <v>1020</v>
      </c>
      <c r="H330" s="8">
        <v>83085.86</v>
      </c>
      <c r="I330" s="8">
        <v>777</v>
      </c>
      <c r="J330" s="8">
        <v>1</v>
      </c>
      <c r="K330" s="8">
        <v>1</v>
      </c>
      <c r="L330" s="8">
        <v>2066.85</v>
      </c>
      <c r="M330" s="8">
        <v>14364.9</v>
      </c>
      <c r="N330" s="8">
        <v>29642.53</v>
      </c>
      <c r="O330" s="8" t="str">
        <f t="shared" si="35"/>
        <v>Not Fraud</v>
      </c>
      <c r="P330" s="8">
        <v>0</v>
      </c>
      <c r="Q330" s="8" t="s">
        <v>1026</v>
      </c>
      <c r="R330" s="8" t="s">
        <v>1029</v>
      </c>
      <c r="S330" s="8">
        <v>273</v>
      </c>
      <c r="T330" s="8">
        <v>149</v>
      </c>
      <c r="U330" s="8">
        <v>3318.77</v>
      </c>
      <c r="V330" s="8">
        <v>3.6</v>
      </c>
      <c r="W330" s="8">
        <v>11.5</v>
      </c>
      <c r="X330" s="8">
        <v>0</v>
      </c>
      <c r="Y330" s="20" t="str">
        <f t="shared" si="30"/>
        <v>Normal</v>
      </c>
      <c r="Z330" s="20">
        <f t="shared" si="31"/>
        <v>2.9810742288121937E-2</v>
      </c>
      <c r="AA330" s="20">
        <f t="shared" si="32"/>
        <v>-0.27570568607020424</v>
      </c>
      <c r="AB330" s="20">
        <f t="shared" si="33"/>
        <v>-1.585873993185994</v>
      </c>
      <c r="AC330" s="20">
        <f t="shared" si="34"/>
        <v>-0.311549925833357</v>
      </c>
      <c r="AD330" s="20"/>
    </row>
    <row r="331" spans="1:30" x14ac:dyDescent="0.45">
      <c r="A331" s="8" t="s">
        <v>215</v>
      </c>
      <c r="B331" s="8" t="s">
        <v>713</v>
      </c>
      <c r="C331" s="8">
        <v>53.2</v>
      </c>
      <c r="D331" s="8" t="s">
        <v>1010</v>
      </c>
      <c r="E331" s="8" t="s">
        <v>1011</v>
      </c>
      <c r="F331" s="8" t="s">
        <v>1019</v>
      </c>
      <c r="G331" s="8" t="s">
        <v>1023</v>
      </c>
      <c r="H331" s="8">
        <v>124278.08</v>
      </c>
      <c r="I331" s="8">
        <v>712</v>
      </c>
      <c r="J331" s="8">
        <v>1</v>
      </c>
      <c r="K331" s="8">
        <v>1</v>
      </c>
      <c r="L331" s="8">
        <v>2072.12</v>
      </c>
      <c r="M331" s="8">
        <v>3521.81</v>
      </c>
      <c r="N331" s="8">
        <v>72315.42</v>
      </c>
      <c r="O331" s="8" t="str">
        <f t="shared" si="35"/>
        <v>Not Fraud</v>
      </c>
      <c r="P331" s="8">
        <v>0</v>
      </c>
      <c r="Q331" s="8" t="s">
        <v>1027</v>
      </c>
      <c r="R331" s="8" t="s">
        <v>1029</v>
      </c>
      <c r="S331" s="8">
        <v>2730</v>
      </c>
      <c r="T331" s="8">
        <v>132</v>
      </c>
      <c r="U331" s="8">
        <v>6536.36</v>
      </c>
      <c r="V331" s="8">
        <v>0.5</v>
      </c>
      <c r="W331" s="8">
        <v>12.7</v>
      </c>
      <c r="X331" s="8">
        <v>0</v>
      </c>
      <c r="Y331" s="20" t="str">
        <f t="shared" si="30"/>
        <v>Normal</v>
      </c>
      <c r="Z331" s="20">
        <f t="shared" si="31"/>
        <v>3.2325603282466434E-2</v>
      </c>
      <c r="AA331" s="20">
        <f t="shared" si="32"/>
        <v>-0.8168348157419133</v>
      </c>
      <c r="AB331" s="20">
        <f t="shared" si="33"/>
        <v>0.62769271994750708</v>
      </c>
      <c r="AC331" s="20">
        <f t="shared" si="34"/>
        <v>1.4173487721607572</v>
      </c>
      <c r="AD331" s="20"/>
    </row>
    <row r="332" spans="1:30" x14ac:dyDescent="0.45">
      <c r="A332" s="8" t="s">
        <v>158</v>
      </c>
      <c r="B332" s="8" t="s">
        <v>656</v>
      </c>
      <c r="C332" s="8">
        <v>73.2</v>
      </c>
      <c r="D332" s="8" t="s">
        <v>1009</v>
      </c>
      <c r="E332" s="8" t="s">
        <v>1013</v>
      </c>
      <c r="F332" s="8" t="s">
        <v>1016</v>
      </c>
      <c r="G332" s="8" t="s">
        <v>1023</v>
      </c>
      <c r="H332" s="8">
        <v>52443.74</v>
      </c>
      <c r="I332" s="8">
        <v>694</v>
      </c>
      <c r="J332" s="8">
        <v>1</v>
      </c>
      <c r="K332" s="8">
        <v>0</v>
      </c>
      <c r="L332" s="8">
        <v>2088.42</v>
      </c>
      <c r="M332" s="8">
        <v>26087.38</v>
      </c>
      <c r="N332" s="8">
        <v>35214.83</v>
      </c>
      <c r="O332" s="8" t="str">
        <f t="shared" si="35"/>
        <v>Fraud</v>
      </c>
      <c r="P332" s="8">
        <v>1</v>
      </c>
      <c r="Q332" s="8" t="s">
        <v>1025</v>
      </c>
      <c r="R332" s="8" t="s">
        <v>1029</v>
      </c>
      <c r="S332" s="8">
        <v>282</v>
      </c>
      <c r="T332" s="8">
        <v>178</v>
      </c>
      <c r="U332" s="8">
        <v>818.69</v>
      </c>
      <c r="V332" s="8">
        <v>4.7</v>
      </c>
      <c r="W332" s="8">
        <v>8.9</v>
      </c>
      <c r="X332" s="8">
        <v>1517</v>
      </c>
      <c r="Y332" s="20" t="str">
        <f t="shared" si="30"/>
        <v>Normal</v>
      </c>
      <c r="Z332" s="20">
        <f t="shared" si="31"/>
        <v>4.0104015845619352E-2</v>
      </c>
      <c r="AA332" s="20">
        <f t="shared" si="32"/>
        <v>0.30930978461149422</v>
      </c>
      <c r="AB332" s="20">
        <f t="shared" si="33"/>
        <v>-1.296822611955573</v>
      </c>
      <c r="AC332" s="20">
        <f t="shared" si="34"/>
        <v>-1.597645246060803</v>
      </c>
      <c r="AD332" s="20"/>
    </row>
    <row r="333" spans="1:30" x14ac:dyDescent="0.45">
      <c r="A333" s="8" t="s">
        <v>235</v>
      </c>
      <c r="B333" s="8" t="s">
        <v>733</v>
      </c>
      <c r="C333" s="8">
        <v>64.3</v>
      </c>
      <c r="D333" s="8" t="s">
        <v>1010</v>
      </c>
      <c r="E333" s="8" t="s">
        <v>1015</v>
      </c>
      <c r="F333" s="8" t="s">
        <v>1018</v>
      </c>
      <c r="G333" s="8" t="s">
        <v>1023</v>
      </c>
      <c r="H333" s="8">
        <v>94309.11</v>
      </c>
      <c r="I333" s="8">
        <v>733</v>
      </c>
      <c r="J333" s="8">
        <v>0</v>
      </c>
      <c r="K333" s="8">
        <v>1</v>
      </c>
      <c r="L333" s="8">
        <v>2089.71</v>
      </c>
      <c r="M333" s="8">
        <v>18290.810000000001</v>
      </c>
      <c r="N333" s="8">
        <v>73409.61</v>
      </c>
      <c r="O333" s="8" t="str">
        <f t="shared" si="35"/>
        <v>Fraud</v>
      </c>
      <c r="P333" s="8">
        <v>1</v>
      </c>
      <c r="Q333" s="8" t="s">
        <v>1025</v>
      </c>
      <c r="R333" s="8" t="s">
        <v>1028</v>
      </c>
      <c r="S333" s="8">
        <v>4975</v>
      </c>
      <c r="T333" s="8">
        <v>170</v>
      </c>
      <c r="U333" s="8">
        <v>8387.11</v>
      </c>
      <c r="V333" s="8">
        <v>5.5</v>
      </c>
      <c r="W333" s="8">
        <v>3.9</v>
      </c>
      <c r="X333" s="8">
        <v>2000.93</v>
      </c>
      <c r="Y333" s="20" t="str">
        <f t="shared" si="30"/>
        <v>Normal</v>
      </c>
      <c r="Z333" s="20">
        <f t="shared" si="31"/>
        <v>4.0719608005525293E-2</v>
      </c>
      <c r="AA333" s="20">
        <f t="shared" si="32"/>
        <v>-7.9781437404052746E-2</v>
      </c>
      <c r="AB333" s="20">
        <f t="shared" si="33"/>
        <v>0.68445153243579993</v>
      </c>
      <c r="AC333" s="20">
        <f t="shared" si="34"/>
        <v>0.15950655794592078</v>
      </c>
      <c r="AD333" s="20"/>
    </row>
    <row r="334" spans="1:30" x14ac:dyDescent="0.45">
      <c r="A334" s="8" t="s">
        <v>438</v>
      </c>
      <c r="B334" s="8" t="s">
        <v>928</v>
      </c>
      <c r="C334" s="8">
        <v>38.799999999999997</v>
      </c>
      <c r="D334" s="8" t="s">
        <v>1010</v>
      </c>
      <c r="E334" s="8" t="s">
        <v>1011</v>
      </c>
      <c r="F334" s="8" t="s">
        <v>1018</v>
      </c>
      <c r="G334" s="8" t="s">
        <v>1022</v>
      </c>
      <c r="H334" s="8">
        <v>64455</v>
      </c>
      <c r="I334" s="8">
        <v>741</v>
      </c>
      <c r="J334" s="8">
        <v>1</v>
      </c>
      <c r="K334" s="8">
        <v>0</v>
      </c>
      <c r="L334" s="8">
        <v>2101.1</v>
      </c>
      <c r="M334" s="8">
        <v>18095.46</v>
      </c>
      <c r="N334" s="8">
        <v>29938.39</v>
      </c>
      <c r="O334" s="8" t="str">
        <f t="shared" si="35"/>
        <v>Not Fraud</v>
      </c>
      <c r="P334" s="8">
        <v>0</v>
      </c>
      <c r="Q334" s="8" t="s">
        <v>1026</v>
      </c>
      <c r="R334" s="8" t="s">
        <v>1029</v>
      </c>
      <c r="S334" s="8">
        <v>2952</v>
      </c>
      <c r="T334" s="8">
        <v>154</v>
      </c>
      <c r="U334" s="8">
        <v>4574.82</v>
      </c>
      <c r="V334" s="8">
        <v>3.7</v>
      </c>
      <c r="W334" s="8">
        <v>6.2</v>
      </c>
      <c r="X334" s="8">
        <v>0</v>
      </c>
      <c r="Y334" s="20" t="str">
        <f t="shared" si="30"/>
        <v>Normal</v>
      </c>
      <c r="Z334" s="20">
        <f t="shared" si="31"/>
        <v>4.615495273523755E-2</v>
      </c>
      <c r="AA334" s="20">
        <f t="shared" si="32"/>
        <v>-8.9530464248003094E-2</v>
      </c>
      <c r="AB334" s="20">
        <f t="shared" si="33"/>
        <v>-1.570526875900343</v>
      </c>
      <c r="AC334" s="20">
        <f t="shared" si="34"/>
        <v>-1.0935148113508315</v>
      </c>
      <c r="AD334" s="20"/>
    </row>
    <row r="335" spans="1:30" x14ac:dyDescent="0.45">
      <c r="A335" s="8" t="s">
        <v>472</v>
      </c>
      <c r="B335" s="8" t="s">
        <v>961</v>
      </c>
      <c r="C335" s="8">
        <v>34.1</v>
      </c>
      <c r="D335" s="8" t="s">
        <v>1009</v>
      </c>
      <c r="E335" s="8" t="s">
        <v>1013</v>
      </c>
      <c r="F335" s="8" t="s">
        <v>1017</v>
      </c>
      <c r="G335" s="8" t="s">
        <v>1022</v>
      </c>
      <c r="H335" s="8">
        <v>78749.52</v>
      </c>
      <c r="I335" s="8">
        <v>696</v>
      </c>
      <c r="J335" s="8">
        <v>1</v>
      </c>
      <c r="K335" s="8">
        <v>0</v>
      </c>
      <c r="L335" s="8">
        <v>2103.79</v>
      </c>
      <c r="M335" s="8">
        <v>8579.75</v>
      </c>
      <c r="N335" s="8">
        <v>52859.42</v>
      </c>
      <c r="O335" s="8" t="str">
        <f t="shared" si="35"/>
        <v>Fraud</v>
      </c>
      <c r="P335" s="8">
        <v>1</v>
      </c>
      <c r="Q335" s="8" t="s">
        <v>1025</v>
      </c>
      <c r="R335" s="8" t="s">
        <v>1030</v>
      </c>
      <c r="S335" s="8">
        <v>2662</v>
      </c>
      <c r="T335" s="8">
        <v>278</v>
      </c>
      <c r="U335" s="8">
        <v>2832.16</v>
      </c>
      <c r="V335" s="8">
        <v>2</v>
      </c>
      <c r="W335" s="8">
        <v>6</v>
      </c>
      <c r="X335" s="8">
        <v>1888.64</v>
      </c>
      <c r="Y335" s="20" t="str">
        <f t="shared" si="30"/>
        <v>Normal</v>
      </c>
      <c r="Z335" s="20">
        <f t="shared" si="31"/>
        <v>4.7438629409770158E-2</v>
      </c>
      <c r="AA335" s="20">
        <f t="shared" si="32"/>
        <v>-0.56441611681644799</v>
      </c>
      <c r="AB335" s="20">
        <f t="shared" si="33"/>
        <v>-0.38154649424036247</v>
      </c>
      <c r="AC335" s="20">
        <f t="shared" si="34"/>
        <v>-0.49355256079840115</v>
      </c>
      <c r="AD335" s="20"/>
    </row>
    <row r="336" spans="1:30" x14ac:dyDescent="0.45">
      <c r="A336" s="8" t="s">
        <v>510</v>
      </c>
      <c r="B336" s="8" t="s">
        <v>789</v>
      </c>
      <c r="C336" s="8">
        <v>33.799999999999997</v>
      </c>
      <c r="D336" s="8" t="s">
        <v>1009</v>
      </c>
      <c r="E336" s="8" t="s">
        <v>1013</v>
      </c>
      <c r="F336" s="8" t="s">
        <v>1018</v>
      </c>
      <c r="G336" s="8" t="s">
        <v>1020</v>
      </c>
      <c r="H336" s="8">
        <v>85910.05</v>
      </c>
      <c r="I336" s="8">
        <v>554</v>
      </c>
      <c r="J336" s="8">
        <v>0</v>
      </c>
      <c r="K336" s="8">
        <v>0</v>
      </c>
      <c r="L336" s="8">
        <v>2115.29</v>
      </c>
      <c r="M336" s="8">
        <v>35149.910000000003</v>
      </c>
      <c r="N336" s="8">
        <v>49034.25</v>
      </c>
      <c r="O336" s="8" t="str">
        <f t="shared" si="35"/>
        <v>Fraud</v>
      </c>
      <c r="P336" s="8">
        <v>1</v>
      </c>
      <c r="Q336" s="8" t="s">
        <v>1027</v>
      </c>
      <c r="R336" s="8" t="s">
        <v>1030</v>
      </c>
      <c r="S336" s="8">
        <v>2847</v>
      </c>
      <c r="T336" s="8">
        <v>145</v>
      </c>
      <c r="U336" s="8">
        <v>190.42</v>
      </c>
      <c r="V336" s="8">
        <v>3</v>
      </c>
      <c r="W336" s="8">
        <v>3.5</v>
      </c>
      <c r="X336" s="8">
        <v>1462.51</v>
      </c>
      <c r="Y336" s="20" t="str">
        <f t="shared" si="30"/>
        <v>Normal</v>
      </c>
      <c r="Z336" s="20">
        <f t="shared" si="31"/>
        <v>5.2926466494203142E-2</v>
      </c>
      <c r="AA336" s="20">
        <f t="shared" si="32"/>
        <v>0.76157929187591378</v>
      </c>
      <c r="AB336" s="20">
        <f t="shared" si="33"/>
        <v>-0.5799691692473018</v>
      </c>
      <c r="AC336" s="20">
        <f t="shared" si="34"/>
        <v>-0.19301447389879264</v>
      </c>
      <c r="AD336" s="20"/>
    </row>
    <row r="337" spans="1:30" x14ac:dyDescent="0.45">
      <c r="A337" s="8" t="s">
        <v>351</v>
      </c>
      <c r="B337" s="8" t="s">
        <v>846</v>
      </c>
      <c r="C337" s="8">
        <v>59.4</v>
      </c>
      <c r="D337" s="8" t="s">
        <v>1009</v>
      </c>
      <c r="E337" s="8" t="s">
        <v>1014</v>
      </c>
      <c r="F337" s="8" t="s">
        <v>1016</v>
      </c>
      <c r="G337" s="8" t="s">
        <v>1023</v>
      </c>
      <c r="H337" s="8">
        <v>115144.62</v>
      </c>
      <c r="I337" s="8">
        <v>783</v>
      </c>
      <c r="J337" s="8">
        <v>0</v>
      </c>
      <c r="K337" s="8">
        <v>1</v>
      </c>
      <c r="L337" s="8">
        <v>2151.17</v>
      </c>
      <c r="M337" s="8">
        <v>33091.46</v>
      </c>
      <c r="N337" s="8">
        <v>77646.66</v>
      </c>
      <c r="O337" s="8" t="str">
        <f t="shared" si="35"/>
        <v>Not Fraud</v>
      </c>
      <c r="P337" s="8">
        <v>0</v>
      </c>
      <c r="Q337" s="8" t="s">
        <v>1024</v>
      </c>
      <c r="R337" s="8" t="s">
        <v>1026</v>
      </c>
      <c r="S337" s="8">
        <v>1751</v>
      </c>
      <c r="T337" s="8">
        <v>31</v>
      </c>
      <c r="U337" s="8">
        <v>7849.39</v>
      </c>
      <c r="V337" s="8">
        <v>2.9</v>
      </c>
      <c r="W337" s="8">
        <v>8.1</v>
      </c>
      <c r="X337" s="8">
        <v>0</v>
      </c>
      <c r="Y337" s="20" t="str">
        <f t="shared" si="30"/>
        <v>Normal</v>
      </c>
      <c r="Z337" s="20">
        <f t="shared" si="31"/>
        <v>7.0048518197634094E-2</v>
      </c>
      <c r="AA337" s="20">
        <f t="shared" si="32"/>
        <v>0.65885144797046502</v>
      </c>
      <c r="AB337" s="20">
        <f t="shared" si="33"/>
        <v>0.90423961901447569</v>
      </c>
      <c r="AC337" s="20">
        <f t="shared" si="34"/>
        <v>1.0340038807666703</v>
      </c>
      <c r="AD337" s="20"/>
    </row>
    <row r="338" spans="1:30" x14ac:dyDescent="0.45">
      <c r="A338" s="8" t="s">
        <v>26</v>
      </c>
      <c r="B338" s="8" t="s">
        <v>526</v>
      </c>
      <c r="C338" s="8">
        <v>72.8</v>
      </c>
      <c r="D338" s="8" t="s">
        <v>1009</v>
      </c>
      <c r="E338" s="8" t="s">
        <v>1012</v>
      </c>
      <c r="F338" s="8" t="s">
        <v>1016</v>
      </c>
      <c r="G338" s="8" t="s">
        <v>1020</v>
      </c>
      <c r="H338" s="8">
        <v>84617.72</v>
      </c>
      <c r="I338" s="8">
        <v>761</v>
      </c>
      <c r="J338" s="8">
        <v>1</v>
      </c>
      <c r="K338" s="8">
        <v>0</v>
      </c>
      <c r="L338" s="8">
        <v>2174.5100000000002</v>
      </c>
      <c r="M338" s="8">
        <v>1651.99</v>
      </c>
      <c r="N338" s="8">
        <v>68481.22</v>
      </c>
      <c r="O338" s="8" t="str">
        <f t="shared" si="35"/>
        <v>Not Fraud</v>
      </c>
      <c r="P338" s="8">
        <v>0</v>
      </c>
      <c r="Q338" s="8" t="s">
        <v>1024</v>
      </c>
      <c r="R338" s="8" t="s">
        <v>1026</v>
      </c>
      <c r="S338" s="8">
        <v>2394</v>
      </c>
      <c r="T338" s="8">
        <v>56</v>
      </c>
      <c r="U338" s="8">
        <v>1135.6099999999999</v>
      </c>
      <c r="V338" s="8">
        <v>5.6</v>
      </c>
      <c r="W338" s="8">
        <v>9</v>
      </c>
      <c r="X338" s="8">
        <v>0</v>
      </c>
      <c r="Y338" s="20" t="str">
        <f t="shared" si="30"/>
        <v>Normal</v>
      </c>
      <c r="Z338" s="20">
        <f t="shared" si="31"/>
        <v>8.1186441462909445E-2</v>
      </c>
      <c r="AA338" s="20">
        <f t="shared" si="32"/>
        <v>-0.91014899733062593</v>
      </c>
      <c r="AB338" s="20">
        <f t="shared" si="33"/>
        <v>0.42880163262024928</v>
      </c>
      <c r="AC338" s="20">
        <f t="shared" si="34"/>
        <v>-0.24725548480761805</v>
      </c>
      <c r="AD338" s="20"/>
    </row>
    <row r="339" spans="1:30" x14ac:dyDescent="0.45">
      <c r="A339" s="8" t="s">
        <v>492</v>
      </c>
      <c r="B339" s="8" t="s">
        <v>981</v>
      </c>
      <c r="C339" s="8">
        <v>41.4</v>
      </c>
      <c r="D339" s="8" t="s">
        <v>1010</v>
      </c>
      <c r="E339" s="8" t="s">
        <v>1014</v>
      </c>
      <c r="F339" s="8" t="s">
        <v>1019</v>
      </c>
      <c r="G339" s="8" t="s">
        <v>1020</v>
      </c>
      <c r="H339" s="8">
        <v>65989.009999999995</v>
      </c>
      <c r="I339" s="8">
        <v>656</v>
      </c>
      <c r="J339" s="8">
        <v>0</v>
      </c>
      <c r="K339" s="8">
        <v>0</v>
      </c>
      <c r="L339" s="8">
        <v>2178.2600000000002</v>
      </c>
      <c r="M339" s="8">
        <v>30105.73</v>
      </c>
      <c r="N339" s="8">
        <v>32680.89</v>
      </c>
      <c r="O339" s="8" t="str">
        <f t="shared" si="35"/>
        <v>Not Fraud</v>
      </c>
      <c r="P339" s="8">
        <v>0</v>
      </c>
      <c r="Q339" s="8" t="s">
        <v>1024</v>
      </c>
      <c r="R339" s="8" t="s">
        <v>1026</v>
      </c>
      <c r="S339" s="8">
        <v>816</v>
      </c>
      <c r="T339" s="8">
        <v>183</v>
      </c>
      <c r="U339" s="8">
        <v>3208.66</v>
      </c>
      <c r="V339" s="8">
        <v>4.7</v>
      </c>
      <c r="W339" s="8">
        <v>5.5</v>
      </c>
      <c r="X339" s="8">
        <v>0</v>
      </c>
      <c r="Y339" s="20" t="str">
        <f t="shared" si="30"/>
        <v>Normal</v>
      </c>
      <c r="Z339" s="20">
        <f t="shared" si="31"/>
        <v>8.2975953555659329E-2</v>
      </c>
      <c r="AA339" s="20">
        <f t="shared" si="32"/>
        <v>0.50984729174426835</v>
      </c>
      <c r="AB339" s="20">
        <f t="shared" si="33"/>
        <v>-1.4282654375311905</v>
      </c>
      <c r="AC339" s="20">
        <f t="shared" si="34"/>
        <v>-1.0291301316295167</v>
      </c>
      <c r="AD339" s="20"/>
    </row>
    <row r="340" spans="1:30" x14ac:dyDescent="0.45">
      <c r="A340" s="8" t="s">
        <v>223</v>
      </c>
      <c r="B340" s="8" t="s">
        <v>721</v>
      </c>
      <c r="C340" s="8">
        <v>55.4</v>
      </c>
      <c r="D340" s="8" t="s">
        <v>1009</v>
      </c>
      <c r="E340" s="8" t="s">
        <v>1012</v>
      </c>
      <c r="F340" s="8" t="s">
        <v>1018</v>
      </c>
      <c r="G340" s="8" t="s">
        <v>1023</v>
      </c>
      <c r="H340" s="8">
        <v>95436.3</v>
      </c>
      <c r="I340" s="8">
        <v>635</v>
      </c>
      <c r="J340" s="8">
        <v>1</v>
      </c>
      <c r="K340" s="8">
        <v>1</v>
      </c>
      <c r="L340" s="8">
        <v>2192.91</v>
      </c>
      <c r="M340" s="8">
        <v>30301.9</v>
      </c>
      <c r="N340" s="8">
        <v>48989.26</v>
      </c>
      <c r="O340" s="8" t="str">
        <f t="shared" si="35"/>
        <v>Not Fraud</v>
      </c>
      <c r="P340" s="8">
        <v>0</v>
      </c>
      <c r="Q340" s="8" t="s">
        <v>1024</v>
      </c>
      <c r="R340" s="8" t="s">
        <v>1030</v>
      </c>
      <c r="S340" s="8">
        <v>2341</v>
      </c>
      <c r="T340" s="8">
        <v>58</v>
      </c>
      <c r="U340" s="8">
        <v>9296.5400000000009</v>
      </c>
      <c r="V340" s="8">
        <v>6.1</v>
      </c>
      <c r="W340" s="8">
        <v>2.5</v>
      </c>
      <c r="X340" s="8">
        <v>0</v>
      </c>
      <c r="Y340" s="20" t="str">
        <f t="shared" si="30"/>
        <v>Normal</v>
      </c>
      <c r="Z340" s="20">
        <f t="shared" si="31"/>
        <v>8.9966980798002041E-2</v>
      </c>
      <c r="AA340" s="20">
        <f t="shared" si="32"/>
        <v>0.51963724104540854</v>
      </c>
      <c r="AB340" s="20">
        <f t="shared" si="33"/>
        <v>-0.58230293118430376</v>
      </c>
      <c r="AC340" s="20">
        <f t="shared" si="34"/>
        <v>0.20681639760476872</v>
      </c>
      <c r="AD340" s="20"/>
    </row>
    <row r="341" spans="1:30" x14ac:dyDescent="0.45">
      <c r="A341" s="8" t="s">
        <v>152</v>
      </c>
      <c r="B341" s="8" t="s">
        <v>650</v>
      </c>
      <c r="C341" s="8">
        <v>42.4</v>
      </c>
      <c r="D341" s="8" t="s">
        <v>1010</v>
      </c>
      <c r="E341" s="8" t="s">
        <v>1014</v>
      </c>
      <c r="F341" s="8" t="s">
        <v>1016</v>
      </c>
      <c r="G341" s="8" t="s">
        <v>1022</v>
      </c>
      <c r="H341" s="8">
        <v>67377.600000000006</v>
      </c>
      <c r="I341" s="8">
        <v>538</v>
      </c>
      <c r="J341" s="8">
        <v>0</v>
      </c>
      <c r="K341" s="8">
        <v>0</v>
      </c>
      <c r="L341" s="8">
        <v>2195.67</v>
      </c>
      <c r="M341" s="8">
        <v>485.96</v>
      </c>
      <c r="N341" s="8">
        <v>41201.94</v>
      </c>
      <c r="O341" s="8" t="str">
        <f t="shared" si="35"/>
        <v>Not Fraud</v>
      </c>
      <c r="P341" s="8">
        <v>0</v>
      </c>
      <c r="Q341" s="8" t="s">
        <v>1027</v>
      </c>
      <c r="R341" s="8" t="s">
        <v>1026</v>
      </c>
      <c r="S341" s="8">
        <v>4311</v>
      </c>
      <c r="T341" s="8">
        <v>273</v>
      </c>
      <c r="U341" s="8">
        <v>5654.67</v>
      </c>
      <c r="V341" s="8">
        <v>2</v>
      </c>
      <c r="W341" s="8">
        <v>8.5</v>
      </c>
      <c r="X341" s="8">
        <v>0</v>
      </c>
      <c r="Y341" s="20" t="str">
        <f t="shared" si="30"/>
        <v>Normal</v>
      </c>
      <c r="Z341" s="20">
        <f t="shared" si="31"/>
        <v>9.1284061698266056E-2</v>
      </c>
      <c r="AA341" s="20">
        <f t="shared" si="32"/>
        <v>-0.96834023240025136</v>
      </c>
      <c r="AB341" s="20">
        <f t="shared" si="33"/>
        <v>-0.98625383154560509</v>
      </c>
      <c r="AC341" s="20">
        <f t="shared" si="34"/>
        <v>-0.97084894544805644</v>
      </c>
      <c r="AD341" s="20"/>
    </row>
    <row r="342" spans="1:30" x14ac:dyDescent="0.45">
      <c r="A342" s="8" t="s">
        <v>112</v>
      </c>
      <c r="B342" s="8" t="s">
        <v>612</v>
      </c>
      <c r="C342" s="8">
        <v>57.7</v>
      </c>
      <c r="D342" s="8" t="s">
        <v>1009</v>
      </c>
      <c r="E342" s="8" t="s">
        <v>1012</v>
      </c>
      <c r="F342" s="8" t="s">
        <v>1019</v>
      </c>
      <c r="G342" s="8" t="s">
        <v>1022</v>
      </c>
      <c r="H342" s="8">
        <v>73179.05</v>
      </c>
      <c r="I342" s="8">
        <v>809</v>
      </c>
      <c r="J342" s="8">
        <v>1</v>
      </c>
      <c r="K342" s="8">
        <v>0</v>
      </c>
      <c r="L342" s="8">
        <v>2212.9</v>
      </c>
      <c r="M342" s="8">
        <v>36545.24</v>
      </c>
      <c r="N342" s="8">
        <v>63894.720000000001</v>
      </c>
      <c r="O342" s="8" t="str">
        <f t="shared" si="35"/>
        <v>Fraud</v>
      </c>
      <c r="P342" s="8">
        <v>1</v>
      </c>
      <c r="Q342" s="8" t="s">
        <v>1026</v>
      </c>
      <c r="R342" s="8" t="s">
        <v>1029</v>
      </c>
      <c r="S342" s="8">
        <v>4854</v>
      </c>
      <c r="T342" s="8">
        <v>214</v>
      </c>
      <c r="U342" s="8">
        <v>562.94000000000005</v>
      </c>
      <c r="V342" s="8">
        <v>5.2</v>
      </c>
      <c r="W342" s="8">
        <v>4.2</v>
      </c>
      <c r="X342" s="8">
        <v>2175.34</v>
      </c>
      <c r="Y342" s="20" t="str">
        <f t="shared" si="30"/>
        <v>Normal</v>
      </c>
      <c r="Z342" s="20">
        <f t="shared" si="31"/>
        <v>9.9506273260420872E-2</v>
      </c>
      <c r="AA342" s="20">
        <f t="shared" si="32"/>
        <v>0.8312138433280204</v>
      </c>
      <c r="AB342" s="20">
        <f t="shared" si="33"/>
        <v>0.19088655984718889</v>
      </c>
      <c r="AC342" s="20">
        <f t="shared" si="34"/>
        <v>-0.72735346616876662</v>
      </c>
      <c r="AD342" s="20"/>
    </row>
    <row r="343" spans="1:30" x14ac:dyDescent="0.45">
      <c r="A343" s="8" t="s">
        <v>354</v>
      </c>
      <c r="B343" s="8" t="s">
        <v>849</v>
      </c>
      <c r="C343" s="8">
        <v>36.5</v>
      </c>
      <c r="D343" s="8" t="s">
        <v>1009</v>
      </c>
      <c r="E343" s="8" t="s">
        <v>1014</v>
      </c>
      <c r="F343" s="8" t="s">
        <v>1016</v>
      </c>
      <c r="G343" s="8" t="s">
        <v>1022</v>
      </c>
      <c r="H343" s="8">
        <v>65317.56</v>
      </c>
      <c r="I343" s="8">
        <v>793</v>
      </c>
      <c r="J343" s="8">
        <v>0</v>
      </c>
      <c r="K343" s="8">
        <v>0</v>
      </c>
      <c r="L343" s="8">
        <v>2229.85</v>
      </c>
      <c r="M343" s="8">
        <v>39137.129999999997</v>
      </c>
      <c r="N343" s="8">
        <v>65317.56</v>
      </c>
      <c r="O343" s="8" t="str">
        <f t="shared" si="35"/>
        <v>Not Fraud</v>
      </c>
      <c r="P343" s="8">
        <v>0</v>
      </c>
      <c r="Q343" s="8" t="s">
        <v>1027</v>
      </c>
      <c r="R343" s="8" t="s">
        <v>1029</v>
      </c>
      <c r="S343" s="8">
        <v>3020</v>
      </c>
      <c r="T343" s="8">
        <v>205</v>
      </c>
      <c r="U343" s="8">
        <v>8800.5</v>
      </c>
      <c r="V343" s="8">
        <v>3.4</v>
      </c>
      <c r="W343" s="8">
        <v>0.5</v>
      </c>
      <c r="X343" s="8">
        <v>0</v>
      </c>
      <c r="Y343" s="20" t="str">
        <f t="shared" si="30"/>
        <v>Normal</v>
      </c>
      <c r="Z343" s="20">
        <f t="shared" si="31"/>
        <v>0.10759486791965027</v>
      </c>
      <c r="AA343" s="20">
        <f t="shared" si="32"/>
        <v>0.96056324279854088</v>
      </c>
      <c r="AB343" s="20">
        <f t="shared" si="33"/>
        <v>0.26469340213311943</v>
      </c>
      <c r="AC343" s="20">
        <f t="shared" si="34"/>
        <v>-1.0573118861153914</v>
      </c>
      <c r="AD343" s="20"/>
    </row>
    <row r="344" spans="1:30" x14ac:dyDescent="0.45">
      <c r="A344" s="8" t="s">
        <v>162</v>
      </c>
      <c r="B344" s="8" t="s">
        <v>660</v>
      </c>
      <c r="C344" s="8">
        <v>31.5</v>
      </c>
      <c r="D344" s="8" t="s">
        <v>1009</v>
      </c>
      <c r="E344" s="8" t="s">
        <v>1012</v>
      </c>
      <c r="F344" s="8" t="s">
        <v>1019</v>
      </c>
      <c r="G344" s="8" t="s">
        <v>1022</v>
      </c>
      <c r="H344" s="8">
        <v>59120.65</v>
      </c>
      <c r="I344" s="8">
        <v>742</v>
      </c>
      <c r="J344" s="8">
        <v>0</v>
      </c>
      <c r="K344" s="8">
        <v>0</v>
      </c>
      <c r="L344" s="8">
        <v>2238.16</v>
      </c>
      <c r="M344" s="8">
        <v>2039.89</v>
      </c>
      <c r="N344" s="8">
        <v>33823.589999999997</v>
      </c>
      <c r="O344" s="8" t="str">
        <f t="shared" si="35"/>
        <v>Fraud</v>
      </c>
      <c r="P344" s="8">
        <v>1</v>
      </c>
      <c r="Q344" s="8" t="s">
        <v>1025</v>
      </c>
      <c r="R344" s="8" t="s">
        <v>1026</v>
      </c>
      <c r="S344" s="8">
        <v>32</v>
      </c>
      <c r="T344" s="8">
        <v>271</v>
      </c>
      <c r="U344" s="8">
        <v>9825.9599999999991</v>
      </c>
      <c r="V344" s="8">
        <v>0.5</v>
      </c>
      <c r="W344" s="8">
        <v>8.4</v>
      </c>
      <c r="X344" s="8">
        <v>2126.09</v>
      </c>
      <c r="Y344" s="20" t="str">
        <f t="shared" si="30"/>
        <v>Normal</v>
      </c>
      <c r="Z344" s="20">
        <f t="shared" si="31"/>
        <v>0.11156042671718398</v>
      </c>
      <c r="AA344" s="20">
        <f t="shared" si="32"/>
        <v>-0.89079067886239827</v>
      </c>
      <c r="AB344" s="20">
        <f t="shared" si="33"/>
        <v>-1.3689902704849077</v>
      </c>
      <c r="AC344" s="20">
        <f t="shared" si="34"/>
        <v>-1.3174054093726157</v>
      </c>
      <c r="AD344" s="20"/>
    </row>
    <row r="345" spans="1:30" x14ac:dyDescent="0.45">
      <c r="A345" s="8" t="s">
        <v>183</v>
      </c>
      <c r="B345" s="8" t="s">
        <v>681</v>
      </c>
      <c r="C345" s="8">
        <v>35.4</v>
      </c>
      <c r="D345" s="8" t="s">
        <v>1010</v>
      </c>
      <c r="E345" s="8" t="s">
        <v>1012</v>
      </c>
      <c r="F345" s="8" t="s">
        <v>1016</v>
      </c>
      <c r="G345" s="8" t="s">
        <v>1020</v>
      </c>
      <c r="H345" s="8">
        <v>109952.35</v>
      </c>
      <c r="I345" s="8">
        <v>707</v>
      </c>
      <c r="J345" s="8">
        <v>1</v>
      </c>
      <c r="K345" s="8">
        <v>1</v>
      </c>
      <c r="L345" s="8">
        <v>2280.44</v>
      </c>
      <c r="M345" s="8">
        <v>8135.1</v>
      </c>
      <c r="N345" s="8">
        <v>43551.6</v>
      </c>
      <c r="O345" s="8" t="str">
        <f t="shared" si="35"/>
        <v>Not Fraud</v>
      </c>
      <c r="P345" s="8">
        <v>0</v>
      </c>
      <c r="Q345" s="8" t="s">
        <v>1027</v>
      </c>
      <c r="R345" s="8" t="s">
        <v>1029</v>
      </c>
      <c r="S345" s="8">
        <v>1805</v>
      </c>
      <c r="T345" s="8">
        <v>27</v>
      </c>
      <c r="U345" s="8">
        <v>4001.99</v>
      </c>
      <c r="V345" s="8">
        <v>5.3</v>
      </c>
      <c r="W345" s="8">
        <v>7.1</v>
      </c>
      <c r="X345" s="8">
        <v>0</v>
      </c>
      <c r="Y345" s="20" t="str">
        <f t="shared" si="30"/>
        <v>Normal</v>
      </c>
      <c r="Z345" s="20">
        <f t="shared" si="31"/>
        <v>0.13173657905890812</v>
      </c>
      <c r="AA345" s="20">
        <f t="shared" si="32"/>
        <v>-0.58660656875482764</v>
      </c>
      <c r="AB345" s="20">
        <f t="shared" si="33"/>
        <v>-0.86437014466193607</v>
      </c>
      <c r="AC345" s="20">
        <f t="shared" si="34"/>
        <v>0.81607659152045153</v>
      </c>
      <c r="AD345" s="20"/>
    </row>
    <row r="346" spans="1:30" x14ac:dyDescent="0.45">
      <c r="A346" s="8" t="s">
        <v>230</v>
      </c>
      <c r="B346" s="8" t="s">
        <v>728</v>
      </c>
      <c r="C346" s="8">
        <v>57.7</v>
      </c>
      <c r="D346" s="8" t="s">
        <v>1009</v>
      </c>
      <c r="E346" s="8" t="s">
        <v>1012</v>
      </c>
      <c r="F346" s="8" t="s">
        <v>1017</v>
      </c>
      <c r="G346" s="8" t="s">
        <v>1020</v>
      </c>
      <c r="H346" s="8">
        <v>89149.96</v>
      </c>
      <c r="I346" s="8">
        <v>711</v>
      </c>
      <c r="J346" s="8">
        <v>1</v>
      </c>
      <c r="K346" s="8">
        <v>0</v>
      </c>
      <c r="L346" s="8">
        <v>2306.7800000000002</v>
      </c>
      <c r="M346" s="8">
        <v>18837.71</v>
      </c>
      <c r="N346" s="8">
        <v>66009.490000000005</v>
      </c>
      <c r="O346" s="8" t="str">
        <f t="shared" si="35"/>
        <v>Not Fraud</v>
      </c>
      <c r="P346" s="8">
        <v>0</v>
      </c>
      <c r="Q346" s="8" t="s">
        <v>1026</v>
      </c>
      <c r="R346" s="8" t="s">
        <v>1028</v>
      </c>
      <c r="S346" s="8">
        <v>1360</v>
      </c>
      <c r="T346" s="8">
        <v>189</v>
      </c>
      <c r="U346" s="8">
        <v>367.3</v>
      </c>
      <c r="V346" s="8">
        <v>5.4</v>
      </c>
      <c r="W346" s="8">
        <v>6.4</v>
      </c>
      <c r="X346" s="8">
        <v>0</v>
      </c>
      <c r="Y346" s="20" t="str">
        <f t="shared" si="30"/>
        <v>Normal</v>
      </c>
      <c r="Z346" s="20">
        <f t="shared" si="31"/>
        <v>0.14430611199838336</v>
      </c>
      <c r="AA346" s="20">
        <f t="shared" si="32"/>
        <v>-5.2488154675839976E-2</v>
      </c>
      <c r="AB346" s="20">
        <f t="shared" si="33"/>
        <v>0.30058582038317189</v>
      </c>
      <c r="AC346" s="20">
        <f t="shared" si="34"/>
        <v>-5.7030635673561834E-2</v>
      </c>
      <c r="AD346" s="20"/>
    </row>
    <row r="347" spans="1:30" x14ac:dyDescent="0.45">
      <c r="A347" s="8" t="s">
        <v>171</v>
      </c>
      <c r="B347" s="8" t="s">
        <v>669</v>
      </c>
      <c r="C347" s="8">
        <v>57.8</v>
      </c>
      <c r="D347" s="8" t="s">
        <v>1009</v>
      </c>
      <c r="E347" s="8" t="s">
        <v>1013</v>
      </c>
      <c r="F347" s="8" t="s">
        <v>1016</v>
      </c>
      <c r="G347" s="8" t="s">
        <v>1023</v>
      </c>
      <c r="H347" s="8">
        <v>107859.85</v>
      </c>
      <c r="I347" s="8">
        <v>686</v>
      </c>
      <c r="J347" s="8">
        <v>1</v>
      </c>
      <c r="K347" s="8">
        <v>0</v>
      </c>
      <c r="L347" s="8">
        <v>2308.62</v>
      </c>
      <c r="M347" s="8">
        <v>8613.75</v>
      </c>
      <c r="N347" s="8">
        <v>69527.16</v>
      </c>
      <c r="O347" s="8" t="str">
        <f t="shared" si="35"/>
        <v>Not Fraud</v>
      </c>
      <c r="P347" s="8">
        <v>0</v>
      </c>
      <c r="Q347" s="8" t="s">
        <v>1024</v>
      </c>
      <c r="R347" s="8" t="s">
        <v>1030</v>
      </c>
      <c r="S347" s="8">
        <v>1106</v>
      </c>
      <c r="T347" s="8">
        <v>94</v>
      </c>
      <c r="U347" s="8">
        <v>9238.19</v>
      </c>
      <c r="V347" s="8">
        <v>0.5</v>
      </c>
      <c r="W347" s="8">
        <v>7.1</v>
      </c>
      <c r="X347" s="8">
        <v>0</v>
      </c>
      <c r="Y347" s="20" t="str">
        <f t="shared" si="30"/>
        <v>Normal</v>
      </c>
      <c r="Z347" s="20">
        <f t="shared" si="31"/>
        <v>0.14518416593189251</v>
      </c>
      <c r="AA347" s="20">
        <f t="shared" si="32"/>
        <v>-0.56271933200613666</v>
      </c>
      <c r="AB347" s="20">
        <f t="shared" si="33"/>
        <v>0.48305757750551154</v>
      </c>
      <c r="AC347" s="20">
        <f t="shared" si="34"/>
        <v>0.728251256407348</v>
      </c>
      <c r="AD347" s="20"/>
    </row>
    <row r="348" spans="1:30" x14ac:dyDescent="0.45">
      <c r="A348" s="8" t="s">
        <v>429</v>
      </c>
      <c r="B348" s="8" t="s">
        <v>919</v>
      </c>
      <c r="C348" s="8">
        <v>34</v>
      </c>
      <c r="D348" s="8" t="s">
        <v>1010</v>
      </c>
      <c r="E348" s="8" t="s">
        <v>1013</v>
      </c>
      <c r="F348" s="8" t="s">
        <v>1019</v>
      </c>
      <c r="G348" s="8" t="s">
        <v>1021</v>
      </c>
      <c r="H348" s="8">
        <v>133703.44</v>
      </c>
      <c r="I348" s="8">
        <v>763</v>
      </c>
      <c r="J348" s="8">
        <v>0</v>
      </c>
      <c r="K348" s="8">
        <v>1</v>
      </c>
      <c r="L348" s="8">
        <v>2354.84</v>
      </c>
      <c r="M348" s="8">
        <v>11620.13</v>
      </c>
      <c r="N348" s="8">
        <v>94777.99</v>
      </c>
      <c r="O348" s="8" t="str">
        <f t="shared" si="35"/>
        <v>Not Fraud</v>
      </c>
      <c r="P348" s="8">
        <v>0</v>
      </c>
      <c r="Q348" s="8" t="s">
        <v>1025</v>
      </c>
      <c r="R348" s="8" t="s">
        <v>1028</v>
      </c>
      <c r="S348" s="8">
        <v>4442</v>
      </c>
      <c r="T348" s="8">
        <v>238</v>
      </c>
      <c r="U348" s="8">
        <v>3788.29</v>
      </c>
      <c r="V348" s="8">
        <v>7.2</v>
      </c>
      <c r="W348" s="8">
        <v>2.9</v>
      </c>
      <c r="X348" s="8">
        <v>0</v>
      </c>
      <c r="Y348" s="20" t="str">
        <f t="shared" si="30"/>
        <v>Normal</v>
      </c>
      <c r="Z348" s="20">
        <f t="shared" si="31"/>
        <v>0.16724049897906587</v>
      </c>
      <c r="AA348" s="20">
        <f t="shared" si="32"/>
        <v>-0.41268462853485383</v>
      </c>
      <c r="AB348" s="20">
        <f t="shared" si="33"/>
        <v>1.7928914501818831</v>
      </c>
      <c r="AC348" s="20">
        <f t="shared" si="34"/>
        <v>1.8129451404100481</v>
      </c>
      <c r="AD348" s="20"/>
    </row>
    <row r="349" spans="1:30" x14ac:dyDescent="0.45">
      <c r="A349" s="8" t="s">
        <v>425</v>
      </c>
      <c r="B349" s="8" t="s">
        <v>915</v>
      </c>
      <c r="C349" s="8">
        <v>50.1</v>
      </c>
      <c r="D349" s="8" t="s">
        <v>1009</v>
      </c>
      <c r="E349" s="8" t="s">
        <v>1014</v>
      </c>
      <c r="F349" s="8" t="s">
        <v>1019</v>
      </c>
      <c r="G349" s="8" t="s">
        <v>1023</v>
      </c>
      <c r="H349" s="8">
        <v>94117.87</v>
      </c>
      <c r="I349" s="8">
        <v>624</v>
      </c>
      <c r="J349" s="8">
        <v>0</v>
      </c>
      <c r="K349" s="8">
        <v>0</v>
      </c>
      <c r="L349" s="8">
        <v>2390.9</v>
      </c>
      <c r="M349" s="8">
        <v>9213.31</v>
      </c>
      <c r="N349" s="8">
        <v>75667.81</v>
      </c>
      <c r="O349" s="8" t="str">
        <f t="shared" si="35"/>
        <v>Not Fraud</v>
      </c>
      <c r="P349" s="8">
        <v>0</v>
      </c>
      <c r="Q349" s="8" t="s">
        <v>1024</v>
      </c>
      <c r="R349" s="8" t="s">
        <v>1029</v>
      </c>
      <c r="S349" s="8">
        <v>4999</v>
      </c>
      <c r="T349" s="8">
        <v>9</v>
      </c>
      <c r="U349" s="8">
        <v>7767.81</v>
      </c>
      <c r="V349" s="8">
        <v>9.1999999999999993</v>
      </c>
      <c r="W349" s="8">
        <v>4.9000000000000004</v>
      </c>
      <c r="X349" s="8">
        <v>0</v>
      </c>
      <c r="Y349" s="20" t="str">
        <f t="shared" si="30"/>
        <v>Normal</v>
      </c>
      <c r="Z349" s="20">
        <f t="shared" si="31"/>
        <v>0.18444844726294873</v>
      </c>
      <c r="AA349" s="20">
        <f t="shared" si="32"/>
        <v>-0.53279802903936524</v>
      </c>
      <c r="AB349" s="20">
        <f t="shared" si="33"/>
        <v>0.8015909235480041</v>
      </c>
      <c r="AC349" s="20">
        <f t="shared" si="34"/>
        <v>0.15147993090313447</v>
      </c>
      <c r="AD349" s="20"/>
    </row>
    <row r="350" spans="1:30" x14ac:dyDescent="0.45">
      <c r="A350" s="8" t="s">
        <v>279</v>
      </c>
      <c r="B350" s="8" t="s">
        <v>776</v>
      </c>
      <c r="C350" s="8">
        <v>69</v>
      </c>
      <c r="D350" s="8" t="s">
        <v>1009</v>
      </c>
      <c r="E350" s="8" t="s">
        <v>1014</v>
      </c>
      <c r="F350" s="8" t="s">
        <v>1016</v>
      </c>
      <c r="G350" s="8" t="s">
        <v>1022</v>
      </c>
      <c r="H350" s="8">
        <v>120434.81</v>
      </c>
      <c r="I350" s="8">
        <v>718</v>
      </c>
      <c r="J350" s="8">
        <v>1</v>
      </c>
      <c r="K350" s="8">
        <v>1</v>
      </c>
      <c r="L350" s="8">
        <v>2410.27</v>
      </c>
      <c r="M350" s="8">
        <v>10226.94</v>
      </c>
      <c r="N350" s="8">
        <v>63295.22</v>
      </c>
      <c r="O350" s="8" t="str">
        <f t="shared" si="35"/>
        <v>Not Fraud</v>
      </c>
      <c r="P350" s="8">
        <v>0</v>
      </c>
      <c r="Q350" s="8" t="s">
        <v>1026</v>
      </c>
      <c r="R350" s="8" t="s">
        <v>1028</v>
      </c>
      <c r="S350" s="8">
        <v>760</v>
      </c>
      <c r="T350" s="8">
        <v>90</v>
      </c>
      <c r="U350" s="8">
        <v>947.28</v>
      </c>
      <c r="V350" s="8">
        <v>3.5</v>
      </c>
      <c r="W350" s="8">
        <v>6.6</v>
      </c>
      <c r="X350" s="8">
        <v>0</v>
      </c>
      <c r="Y350" s="20" t="str">
        <f t="shared" si="30"/>
        <v>Normal</v>
      </c>
      <c r="Z350" s="20">
        <f t="shared" si="31"/>
        <v>0.19369187372603275</v>
      </c>
      <c r="AA350" s="20">
        <f t="shared" si="32"/>
        <v>-0.48221238235478225</v>
      </c>
      <c r="AB350" s="20">
        <f t="shared" si="33"/>
        <v>0.15978875408518087</v>
      </c>
      <c r="AC350" s="20">
        <f t="shared" si="34"/>
        <v>1.2560410179528061</v>
      </c>
      <c r="AD350" s="20"/>
    </row>
    <row r="351" spans="1:30" x14ac:dyDescent="0.45">
      <c r="A351" s="8" t="s">
        <v>350</v>
      </c>
      <c r="B351" s="8" t="s">
        <v>845</v>
      </c>
      <c r="C351" s="8">
        <v>61.9</v>
      </c>
      <c r="D351" s="8" t="s">
        <v>1009</v>
      </c>
      <c r="E351" s="8" t="s">
        <v>1014</v>
      </c>
      <c r="F351" s="8" t="s">
        <v>1019</v>
      </c>
      <c r="G351" s="8" t="s">
        <v>1022</v>
      </c>
      <c r="H351" s="8">
        <v>125075.82</v>
      </c>
      <c r="I351" s="8">
        <v>556</v>
      </c>
      <c r="J351" s="8">
        <v>1</v>
      </c>
      <c r="K351" s="8">
        <v>1</v>
      </c>
      <c r="L351" s="8">
        <v>2424</v>
      </c>
      <c r="M351" s="8">
        <v>7623.53</v>
      </c>
      <c r="N351" s="8">
        <v>72090.31</v>
      </c>
      <c r="O351" s="8" t="str">
        <f t="shared" si="35"/>
        <v>Not Fraud</v>
      </c>
      <c r="P351" s="8">
        <v>0</v>
      </c>
      <c r="Q351" s="8" t="s">
        <v>1025</v>
      </c>
      <c r="R351" s="8" t="s">
        <v>1028</v>
      </c>
      <c r="S351" s="8">
        <v>286</v>
      </c>
      <c r="T351" s="8">
        <v>80</v>
      </c>
      <c r="U351" s="8">
        <v>6936.04</v>
      </c>
      <c r="V351" s="8">
        <v>6</v>
      </c>
      <c r="W351" s="8">
        <v>1.1000000000000001</v>
      </c>
      <c r="X351" s="8">
        <v>0</v>
      </c>
      <c r="Y351" s="20" t="str">
        <f t="shared" si="30"/>
        <v>Normal</v>
      </c>
      <c r="Z351" s="20">
        <f t="shared" si="31"/>
        <v>0.20024387400162103</v>
      </c>
      <c r="AA351" s="20">
        <f t="shared" si="32"/>
        <v>-0.61213669244338476</v>
      </c>
      <c r="AB351" s="20">
        <f t="shared" si="33"/>
        <v>0.61601561059790633</v>
      </c>
      <c r="AC351" s="20">
        <f t="shared" si="34"/>
        <v>1.4508311056532914</v>
      </c>
      <c r="AD351" s="20"/>
    </row>
    <row r="352" spans="1:30" x14ac:dyDescent="0.45">
      <c r="A352" s="8" t="s">
        <v>435</v>
      </c>
      <c r="B352" s="8" t="s">
        <v>925</v>
      </c>
      <c r="C352" s="8">
        <v>27</v>
      </c>
      <c r="D352" s="8" t="s">
        <v>1010</v>
      </c>
      <c r="E352" s="8" t="s">
        <v>1014</v>
      </c>
      <c r="F352" s="8" t="s">
        <v>1016</v>
      </c>
      <c r="G352" s="8" t="s">
        <v>1022</v>
      </c>
      <c r="H352" s="8">
        <v>106964.88</v>
      </c>
      <c r="I352" s="8">
        <v>784</v>
      </c>
      <c r="J352" s="8">
        <v>0</v>
      </c>
      <c r="K352" s="8">
        <v>0</v>
      </c>
      <c r="L352" s="8">
        <v>2429.9299999999998</v>
      </c>
      <c r="M352" s="8">
        <v>5752.92</v>
      </c>
      <c r="N352" s="8">
        <v>68367.960000000006</v>
      </c>
      <c r="O352" s="8" t="str">
        <f t="shared" si="35"/>
        <v>Not Fraud</v>
      </c>
      <c r="P352" s="8">
        <v>0</v>
      </c>
      <c r="Q352" s="8" t="s">
        <v>1026</v>
      </c>
      <c r="R352" s="8" t="s">
        <v>1030</v>
      </c>
      <c r="S352" s="8">
        <v>307</v>
      </c>
      <c r="T352" s="8">
        <v>196</v>
      </c>
      <c r="U352" s="8">
        <v>8120.78</v>
      </c>
      <c r="V352" s="8">
        <v>3.1</v>
      </c>
      <c r="W352" s="8">
        <v>8.6999999999999993</v>
      </c>
      <c r="X352" s="8">
        <v>0</v>
      </c>
      <c r="Y352" s="20" t="str">
        <f t="shared" si="30"/>
        <v>Normal</v>
      </c>
      <c r="Z352" s="20">
        <f t="shared" si="31"/>
        <v>0.20307368912428941</v>
      </c>
      <c r="AA352" s="20">
        <f t="shared" si="32"/>
        <v>-0.70549029932621932</v>
      </c>
      <c r="AB352" s="20">
        <f t="shared" si="33"/>
        <v>0.42292650754834793</v>
      </c>
      <c r="AC352" s="20">
        <f t="shared" si="34"/>
        <v>0.69068803530045464</v>
      </c>
      <c r="AD352" s="20"/>
    </row>
    <row r="353" spans="1:30" x14ac:dyDescent="0.45">
      <c r="A353" s="8" t="s">
        <v>456</v>
      </c>
      <c r="B353" s="8" t="s">
        <v>946</v>
      </c>
      <c r="C353" s="8">
        <v>60.8</v>
      </c>
      <c r="D353" s="8" t="s">
        <v>1009</v>
      </c>
      <c r="E353" s="8" t="s">
        <v>1015</v>
      </c>
      <c r="F353" s="8" t="s">
        <v>1017</v>
      </c>
      <c r="G353" s="8" t="s">
        <v>1022</v>
      </c>
      <c r="H353" s="8">
        <v>83185.929999999993</v>
      </c>
      <c r="I353" s="8">
        <v>571</v>
      </c>
      <c r="J353" s="8">
        <v>0</v>
      </c>
      <c r="K353" s="8">
        <v>0</v>
      </c>
      <c r="L353" s="8">
        <v>2456.7199999999998</v>
      </c>
      <c r="M353" s="8">
        <v>1125.75</v>
      </c>
      <c r="N353" s="8">
        <v>47654.94</v>
      </c>
      <c r="O353" s="8" t="str">
        <f t="shared" si="35"/>
        <v>Not Fraud</v>
      </c>
      <c r="P353" s="8">
        <v>0</v>
      </c>
      <c r="Q353" s="8" t="s">
        <v>1027</v>
      </c>
      <c r="R353" s="8" t="s">
        <v>1026</v>
      </c>
      <c r="S353" s="8">
        <v>3989</v>
      </c>
      <c r="T353" s="8">
        <v>188</v>
      </c>
      <c r="U353" s="8">
        <v>3284.43</v>
      </c>
      <c r="V353" s="8">
        <v>3.5</v>
      </c>
      <c r="W353" s="8">
        <v>2.4</v>
      </c>
      <c r="X353" s="8">
        <v>0</v>
      </c>
      <c r="Y353" s="20" t="str">
        <f t="shared" si="30"/>
        <v>Normal</v>
      </c>
      <c r="Z353" s="20">
        <f t="shared" si="31"/>
        <v>0.21585796351489459</v>
      </c>
      <c r="AA353" s="20">
        <f t="shared" si="32"/>
        <v>-0.93641123375939683</v>
      </c>
      <c r="AB353" s="20">
        <f t="shared" si="33"/>
        <v>-0.65151798403561734</v>
      </c>
      <c r="AC353" s="20">
        <f t="shared" si="34"/>
        <v>-0.30734983919786474</v>
      </c>
      <c r="AD353" s="20"/>
    </row>
    <row r="354" spans="1:30" x14ac:dyDescent="0.45">
      <c r="A354" s="8" t="s">
        <v>57</v>
      </c>
      <c r="B354" s="8" t="s">
        <v>557</v>
      </c>
      <c r="C354" s="8">
        <v>62.3</v>
      </c>
      <c r="D354" s="8" t="s">
        <v>1009</v>
      </c>
      <c r="E354" s="8" t="s">
        <v>1014</v>
      </c>
      <c r="F354" s="8" t="s">
        <v>1016</v>
      </c>
      <c r="G354" s="8" t="s">
        <v>1023</v>
      </c>
      <c r="H354" s="8">
        <v>92497.56</v>
      </c>
      <c r="I354" s="8">
        <v>658</v>
      </c>
      <c r="J354" s="8">
        <v>0</v>
      </c>
      <c r="K354" s="8">
        <v>0</v>
      </c>
      <c r="L354" s="8">
        <v>2466</v>
      </c>
      <c r="M354" s="8">
        <v>22310.13</v>
      </c>
      <c r="N354" s="8">
        <v>56637.120000000003</v>
      </c>
      <c r="O354" s="8" t="str">
        <f t="shared" si="35"/>
        <v>Fraud</v>
      </c>
      <c r="P354" s="8">
        <v>1</v>
      </c>
      <c r="Q354" s="8" t="s">
        <v>1025</v>
      </c>
      <c r="R354" s="8" t="s">
        <v>1029</v>
      </c>
      <c r="S354" s="8">
        <v>919</v>
      </c>
      <c r="T354" s="8">
        <v>280</v>
      </c>
      <c r="U354" s="8">
        <v>8500.8799999999992</v>
      </c>
      <c r="V354" s="8">
        <v>7.6</v>
      </c>
      <c r="W354" s="8">
        <v>6.5</v>
      </c>
      <c r="X354" s="8">
        <v>1233.23</v>
      </c>
      <c r="Y354" s="20" t="str">
        <f t="shared" si="30"/>
        <v>Normal</v>
      </c>
      <c r="Z354" s="20">
        <f t="shared" si="31"/>
        <v>0.22028640944041972</v>
      </c>
      <c r="AA354" s="20">
        <f t="shared" si="32"/>
        <v>0.12080447800125088</v>
      </c>
      <c r="AB354" s="20">
        <f t="shared" si="33"/>
        <v>-0.18558622597157554</v>
      </c>
      <c r="AC354" s="20">
        <f t="shared" si="34"/>
        <v>8.3473111912877582E-2</v>
      </c>
      <c r="AD354" s="20"/>
    </row>
    <row r="355" spans="1:30" x14ac:dyDescent="0.45">
      <c r="A355" s="8" t="s">
        <v>323</v>
      </c>
      <c r="B355" s="8" t="s">
        <v>819</v>
      </c>
      <c r="C355" s="8">
        <v>37.6</v>
      </c>
      <c r="D355" s="8" t="s">
        <v>1010</v>
      </c>
      <c r="E355" s="8" t="s">
        <v>1012</v>
      </c>
      <c r="F355" s="8" t="s">
        <v>1016</v>
      </c>
      <c r="G355" s="8" t="s">
        <v>1023</v>
      </c>
      <c r="H355" s="8">
        <v>50788.63</v>
      </c>
      <c r="I355" s="8">
        <v>588</v>
      </c>
      <c r="J355" s="8">
        <v>0</v>
      </c>
      <c r="K355" s="8">
        <v>1</v>
      </c>
      <c r="L355" s="8">
        <v>2470.9</v>
      </c>
      <c r="M355" s="8">
        <v>22277.09</v>
      </c>
      <c r="N355" s="8">
        <v>15762.76</v>
      </c>
      <c r="O355" s="8" t="str">
        <f t="shared" si="35"/>
        <v>Fraud</v>
      </c>
      <c r="P355" s="8">
        <v>1</v>
      </c>
      <c r="Q355" s="8" t="s">
        <v>1027</v>
      </c>
      <c r="R355" s="8" t="s">
        <v>1028</v>
      </c>
      <c r="S355" s="8">
        <v>3078</v>
      </c>
      <c r="T355" s="8">
        <v>277</v>
      </c>
      <c r="U355" s="8">
        <v>6338.31</v>
      </c>
      <c r="V355" s="8">
        <v>6.1</v>
      </c>
      <c r="W355" s="8">
        <v>8.4</v>
      </c>
      <c r="X355" s="8">
        <v>1704.47</v>
      </c>
      <c r="Y355" s="20" t="str">
        <f t="shared" si="30"/>
        <v>Normal</v>
      </c>
      <c r="Z355" s="20">
        <f t="shared" si="31"/>
        <v>0.22262470524161296</v>
      </c>
      <c r="AA355" s="20">
        <f t="shared" si="32"/>
        <v>0.11915560240911306</v>
      </c>
      <c r="AB355" s="20">
        <f t="shared" si="33"/>
        <v>-2.305857965631942</v>
      </c>
      <c r="AC355" s="20">
        <f t="shared" si="34"/>
        <v>-1.6671126727748049</v>
      </c>
      <c r="AD355" s="20"/>
    </row>
    <row r="356" spans="1:30" x14ac:dyDescent="0.45">
      <c r="A356" s="8" t="s">
        <v>147</v>
      </c>
      <c r="B356" s="8" t="s">
        <v>645</v>
      </c>
      <c r="C356" s="8">
        <v>58.8</v>
      </c>
      <c r="D356" s="8" t="s">
        <v>1010</v>
      </c>
      <c r="E356" s="8" t="s">
        <v>1014</v>
      </c>
      <c r="F356" s="8" t="s">
        <v>1016</v>
      </c>
      <c r="G356" s="8" t="s">
        <v>1021</v>
      </c>
      <c r="H356" s="8">
        <v>82918.8</v>
      </c>
      <c r="I356" s="8">
        <v>737</v>
      </c>
      <c r="J356" s="8">
        <v>0</v>
      </c>
      <c r="K356" s="8">
        <v>1</v>
      </c>
      <c r="L356" s="8">
        <v>2478.66</v>
      </c>
      <c r="M356" s="8">
        <v>22199.59</v>
      </c>
      <c r="N356" s="8">
        <v>73184.91</v>
      </c>
      <c r="O356" s="8" t="str">
        <f t="shared" si="35"/>
        <v>Fraud</v>
      </c>
      <c r="P356" s="8">
        <v>1</v>
      </c>
      <c r="Q356" s="8" t="s">
        <v>1027</v>
      </c>
      <c r="R356" s="8" t="s">
        <v>1030</v>
      </c>
      <c r="S356" s="8">
        <v>1323</v>
      </c>
      <c r="T356" s="8">
        <v>49</v>
      </c>
      <c r="U356" s="8">
        <v>1294.95</v>
      </c>
      <c r="V356" s="8">
        <v>4</v>
      </c>
      <c r="W356" s="8">
        <v>3.5</v>
      </c>
      <c r="X356" s="8">
        <v>1873.91</v>
      </c>
      <c r="Y356" s="20" t="str">
        <f t="shared" si="30"/>
        <v>Normal</v>
      </c>
      <c r="Z356" s="20">
        <f t="shared" si="31"/>
        <v>0.22632780226554328</v>
      </c>
      <c r="AA356" s="20">
        <f t="shared" si="32"/>
        <v>0.1152879311503153</v>
      </c>
      <c r="AB356" s="20">
        <f t="shared" si="33"/>
        <v>0.67279569097671221</v>
      </c>
      <c r="AC356" s="20">
        <f t="shared" si="34"/>
        <v>-0.31856168233705828</v>
      </c>
      <c r="AD356" s="20"/>
    </row>
    <row r="357" spans="1:30" x14ac:dyDescent="0.45">
      <c r="A357" s="8" t="s">
        <v>518</v>
      </c>
      <c r="B357" s="8" t="s">
        <v>1004</v>
      </c>
      <c r="C357" s="8">
        <v>58.1</v>
      </c>
      <c r="D357" s="8" t="s">
        <v>1009</v>
      </c>
      <c r="E357" s="8" t="s">
        <v>1014</v>
      </c>
      <c r="F357" s="8" t="s">
        <v>1018</v>
      </c>
      <c r="G357" s="8" t="s">
        <v>1023</v>
      </c>
      <c r="H357" s="8">
        <v>92395.67</v>
      </c>
      <c r="I357" s="8">
        <v>592</v>
      </c>
      <c r="J357" s="8">
        <v>1</v>
      </c>
      <c r="K357" s="8">
        <v>0</v>
      </c>
      <c r="L357" s="8">
        <v>2500.7800000000002</v>
      </c>
      <c r="M357" s="8">
        <v>6888.18</v>
      </c>
      <c r="N357" s="8">
        <v>65205.61</v>
      </c>
      <c r="O357" s="8" t="str">
        <f t="shared" si="35"/>
        <v>Not Fraud</v>
      </c>
      <c r="P357" s="8">
        <v>0</v>
      </c>
      <c r="Q357" s="8" t="s">
        <v>1027</v>
      </c>
      <c r="R357" s="8" t="s">
        <v>1028</v>
      </c>
      <c r="S357" s="8">
        <v>4382</v>
      </c>
      <c r="T357" s="8">
        <v>259</v>
      </c>
      <c r="U357" s="8">
        <v>9893.51</v>
      </c>
      <c r="V357" s="8">
        <v>4.3</v>
      </c>
      <c r="W357" s="8">
        <v>4.5</v>
      </c>
      <c r="X357" s="8">
        <v>0</v>
      </c>
      <c r="Y357" s="20" t="str">
        <f t="shared" si="30"/>
        <v>Normal</v>
      </c>
      <c r="Z357" s="20">
        <f t="shared" si="31"/>
        <v>0.23688353759664407</v>
      </c>
      <c r="AA357" s="20">
        <f t="shared" si="32"/>
        <v>-0.64883465450992583</v>
      </c>
      <c r="AB357" s="20">
        <f t="shared" si="33"/>
        <v>0.25888623056505156</v>
      </c>
      <c r="AC357" s="20">
        <f t="shared" si="34"/>
        <v>7.9196637172292611E-2</v>
      </c>
      <c r="AD357" s="20"/>
    </row>
    <row r="358" spans="1:30" x14ac:dyDescent="0.45">
      <c r="A358" s="8" t="s">
        <v>271</v>
      </c>
      <c r="B358" s="8" t="s">
        <v>768</v>
      </c>
      <c r="C358" s="8">
        <v>76.5</v>
      </c>
      <c r="D358" s="8" t="s">
        <v>1009</v>
      </c>
      <c r="E358" s="8" t="s">
        <v>1013</v>
      </c>
      <c r="F358" s="8" t="s">
        <v>1017</v>
      </c>
      <c r="G358" s="8" t="s">
        <v>1023</v>
      </c>
      <c r="H358" s="8">
        <v>106416.61</v>
      </c>
      <c r="I358" s="8">
        <v>512</v>
      </c>
      <c r="J358" s="8">
        <v>1</v>
      </c>
      <c r="K358" s="8">
        <v>0</v>
      </c>
      <c r="L358" s="8">
        <v>2501.15</v>
      </c>
      <c r="M358" s="8">
        <v>11119.94</v>
      </c>
      <c r="N358" s="8">
        <v>73457.22</v>
      </c>
      <c r="O358" s="8" t="str">
        <f t="shared" si="35"/>
        <v>Fraud</v>
      </c>
      <c r="P358" s="8">
        <v>1</v>
      </c>
      <c r="Q358" s="8" t="s">
        <v>1026</v>
      </c>
      <c r="R358" s="8" t="s">
        <v>1029</v>
      </c>
      <c r="S358" s="8">
        <v>1184</v>
      </c>
      <c r="T358" s="8">
        <v>235</v>
      </c>
      <c r="U358" s="8">
        <v>6112.49</v>
      </c>
      <c r="V358" s="8">
        <v>4.8</v>
      </c>
      <c r="W358" s="8">
        <v>0.5</v>
      </c>
      <c r="X358" s="8">
        <v>1837.5</v>
      </c>
      <c r="Y358" s="20" t="str">
        <f t="shared" si="30"/>
        <v>Normal</v>
      </c>
      <c r="Z358" s="20">
        <f t="shared" si="31"/>
        <v>0.23706010278979536</v>
      </c>
      <c r="AA358" s="20">
        <f t="shared" si="32"/>
        <v>-0.43764682836631252</v>
      </c>
      <c r="AB358" s="20">
        <f t="shared" si="33"/>
        <v>0.68692120138046919</v>
      </c>
      <c r="AC358" s="20">
        <f t="shared" si="34"/>
        <v>0.66767632849880043</v>
      </c>
      <c r="AD358" s="20"/>
    </row>
    <row r="359" spans="1:30" x14ac:dyDescent="0.45">
      <c r="A359" s="8" t="s">
        <v>160</v>
      </c>
      <c r="B359" s="8" t="s">
        <v>658</v>
      </c>
      <c r="C359" s="8">
        <v>45.2</v>
      </c>
      <c r="D359" s="8" t="s">
        <v>1009</v>
      </c>
      <c r="E359" s="8" t="s">
        <v>1012</v>
      </c>
      <c r="F359" s="8" t="s">
        <v>1019</v>
      </c>
      <c r="G359" s="8" t="s">
        <v>1021</v>
      </c>
      <c r="H359" s="8">
        <v>140326.42000000001</v>
      </c>
      <c r="I359" s="8">
        <v>613</v>
      </c>
      <c r="J359" s="8">
        <v>0</v>
      </c>
      <c r="K359" s="8">
        <v>1</v>
      </c>
      <c r="L359" s="8">
        <v>2528.59</v>
      </c>
      <c r="M359" s="8">
        <v>9989.3799999999992</v>
      </c>
      <c r="N359" s="8">
        <v>65547.539999999994</v>
      </c>
      <c r="O359" s="8" t="str">
        <f t="shared" si="35"/>
        <v>Not Fraud</v>
      </c>
      <c r="P359" s="8">
        <v>0</v>
      </c>
      <c r="Q359" s="8" t="s">
        <v>1024</v>
      </c>
      <c r="R359" s="8" t="s">
        <v>1026</v>
      </c>
      <c r="S359" s="8">
        <v>2789</v>
      </c>
      <c r="T359" s="8">
        <v>46</v>
      </c>
      <c r="U359" s="8">
        <v>9363.0400000000009</v>
      </c>
      <c r="V359" s="8">
        <v>3.6</v>
      </c>
      <c r="W359" s="8">
        <v>3.7</v>
      </c>
      <c r="X359" s="8">
        <v>0</v>
      </c>
      <c r="Y359" s="20" t="str">
        <f t="shared" si="30"/>
        <v>Normal</v>
      </c>
      <c r="Z359" s="20">
        <f t="shared" si="31"/>
        <v>0.25015455927647723</v>
      </c>
      <c r="AA359" s="20">
        <f t="shared" si="32"/>
        <v>-0.49406791763529839</v>
      </c>
      <c r="AB359" s="20">
        <f t="shared" si="33"/>
        <v>0.27662313252368903</v>
      </c>
      <c r="AC359" s="20">
        <f t="shared" si="34"/>
        <v>2.0909214548412947</v>
      </c>
      <c r="AD359" s="20"/>
    </row>
    <row r="360" spans="1:30" x14ac:dyDescent="0.45">
      <c r="A360" s="8" t="s">
        <v>99</v>
      </c>
      <c r="B360" s="8" t="s">
        <v>599</v>
      </c>
      <c r="C360" s="8">
        <v>51.3</v>
      </c>
      <c r="D360" s="8" t="s">
        <v>1010</v>
      </c>
      <c r="E360" s="8" t="s">
        <v>1013</v>
      </c>
      <c r="F360" s="8" t="s">
        <v>1019</v>
      </c>
      <c r="G360" s="8" t="s">
        <v>1021</v>
      </c>
      <c r="H360" s="8">
        <v>90041.45</v>
      </c>
      <c r="I360" s="8">
        <v>584</v>
      </c>
      <c r="J360" s="8">
        <v>0</v>
      </c>
      <c r="K360" s="8">
        <v>1</v>
      </c>
      <c r="L360" s="8">
        <v>2532.1799999999998</v>
      </c>
      <c r="M360" s="8">
        <v>5143.6400000000003</v>
      </c>
      <c r="N360" s="8">
        <v>58902.12</v>
      </c>
      <c r="O360" s="8" t="str">
        <f t="shared" si="35"/>
        <v>Fraud</v>
      </c>
      <c r="P360" s="8">
        <v>1</v>
      </c>
      <c r="Q360" s="8" t="s">
        <v>1024</v>
      </c>
      <c r="R360" s="8" t="s">
        <v>1026</v>
      </c>
      <c r="S360" s="8">
        <v>2352</v>
      </c>
      <c r="T360" s="8">
        <v>164</v>
      </c>
      <c r="U360" s="8">
        <v>345.12</v>
      </c>
      <c r="V360" s="8">
        <v>3.7</v>
      </c>
      <c r="W360" s="8">
        <v>7</v>
      </c>
      <c r="X360" s="8">
        <v>1667.53</v>
      </c>
      <c r="Y360" s="20" t="str">
        <f t="shared" si="30"/>
        <v>Normal</v>
      </c>
      <c r="Z360" s="20">
        <f t="shared" si="31"/>
        <v>0.25186771885326964</v>
      </c>
      <c r="AA360" s="20">
        <f t="shared" si="32"/>
        <v>-0.73589668312699752</v>
      </c>
      <c r="AB360" s="20">
        <f t="shared" si="33"/>
        <v>-6.8094099114280895E-2</v>
      </c>
      <c r="AC360" s="20">
        <f t="shared" si="34"/>
        <v>-1.9613475339043403E-2</v>
      </c>
      <c r="AD360" s="20"/>
    </row>
    <row r="361" spans="1:30" x14ac:dyDescent="0.45">
      <c r="A361" s="8" t="s">
        <v>125</v>
      </c>
      <c r="B361" s="8" t="s">
        <v>624</v>
      </c>
      <c r="C361" s="8">
        <v>44.9</v>
      </c>
      <c r="D361" s="8" t="s">
        <v>1010</v>
      </c>
      <c r="E361" s="8" t="s">
        <v>1012</v>
      </c>
      <c r="F361" s="8" t="s">
        <v>1016</v>
      </c>
      <c r="G361" s="8" t="s">
        <v>1020</v>
      </c>
      <c r="H361" s="8">
        <v>98694.96</v>
      </c>
      <c r="I361" s="8">
        <v>640</v>
      </c>
      <c r="J361" s="8">
        <v>0</v>
      </c>
      <c r="K361" s="8">
        <v>0</v>
      </c>
      <c r="L361" s="8">
        <v>2536.66</v>
      </c>
      <c r="M361" s="8">
        <v>4098.1400000000003</v>
      </c>
      <c r="N361" s="8">
        <v>74501.919999999998</v>
      </c>
      <c r="O361" s="8" t="str">
        <f t="shared" si="35"/>
        <v>Not Fraud</v>
      </c>
      <c r="P361" s="8">
        <v>0</v>
      </c>
      <c r="Q361" s="8" t="s">
        <v>1025</v>
      </c>
      <c r="R361" s="8" t="s">
        <v>1028</v>
      </c>
      <c r="S361" s="8">
        <v>4422</v>
      </c>
      <c r="T361" s="8">
        <v>257</v>
      </c>
      <c r="U361" s="8">
        <v>7078.28</v>
      </c>
      <c r="V361" s="8">
        <v>6.7</v>
      </c>
      <c r="W361" s="8">
        <v>3.9</v>
      </c>
      <c r="X361" s="8">
        <v>0</v>
      </c>
      <c r="Y361" s="20" t="str">
        <f t="shared" si="30"/>
        <v>Normal</v>
      </c>
      <c r="Z361" s="20">
        <f t="shared" si="31"/>
        <v>0.25400558930007483</v>
      </c>
      <c r="AA361" s="20">
        <f t="shared" si="32"/>
        <v>-0.78807281604406931</v>
      </c>
      <c r="AB361" s="20">
        <f t="shared" si="33"/>
        <v>0.74111282386515587</v>
      </c>
      <c r="AC361" s="20">
        <f t="shared" si="34"/>
        <v>0.34358720119839653</v>
      </c>
      <c r="AD361" s="20"/>
    </row>
    <row r="362" spans="1:30" x14ac:dyDescent="0.45">
      <c r="A362" s="8" t="s">
        <v>263</v>
      </c>
      <c r="B362" s="8" t="s">
        <v>761</v>
      </c>
      <c r="C362" s="8">
        <v>38.1</v>
      </c>
      <c r="D362" s="8" t="s">
        <v>1010</v>
      </c>
      <c r="E362" s="8" t="s">
        <v>1014</v>
      </c>
      <c r="F362" s="8" t="s">
        <v>1016</v>
      </c>
      <c r="G362" s="8" t="s">
        <v>1020</v>
      </c>
      <c r="H362" s="8">
        <v>96595.76</v>
      </c>
      <c r="I362" s="8">
        <v>639</v>
      </c>
      <c r="J362" s="8">
        <v>1</v>
      </c>
      <c r="K362" s="8">
        <v>0</v>
      </c>
      <c r="L362" s="8">
        <v>2545.91</v>
      </c>
      <c r="M362" s="8">
        <v>16978.39</v>
      </c>
      <c r="N362" s="8">
        <v>60449.32</v>
      </c>
      <c r="O362" s="8" t="str">
        <f t="shared" si="35"/>
        <v>Fraud</v>
      </c>
      <c r="P362" s="8">
        <v>1</v>
      </c>
      <c r="Q362" s="8" t="s">
        <v>1024</v>
      </c>
      <c r="R362" s="8" t="s">
        <v>1029</v>
      </c>
      <c r="S362" s="8">
        <v>90</v>
      </c>
      <c r="T362" s="8">
        <v>134</v>
      </c>
      <c r="U362" s="8">
        <v>1837.52</v>
      </c>
      <c r="V362" s="8">
        <v>5.7</v>
      </c>
      <c r="W362" s="8">
        <v>4.3</v>
      </c>
      <c r="X362" s="8">
        <v>1860.85</v>
      </c>
      <c r="Y362" s="20" t="str">
        <f t="shared" si="30"/>
        <v>Normal</v>
      </c>
      <c r="Z362" s="20">
        <f t="shared" si="31"/>
        <v>0.25841971912885786</v>
      </c>
      <c r="AA362" s="20">
        <f t="shared" si="32"/>
        <v>-0.1452783291907801</v>
      </c>
      <c r="AB362" s="20">
        <f t="shared" si="33"/>
        <v>1.2163657474507594E-2</v>
      </c>
      <c r="AC362" s="20">
        <f t="shared" si="34"/>
        <v>0.25548065712698537</v>
      </c>
      <c r="AD362" s="20"/>
    </row>
    <row r="363" spans="1:30" x14ac:dyDescent="0.45">
      <c r="A363" s="8" t="s">
        <v>483</v>
      </c>
      <c r="B363" s="8" t="s">
        <v>972</v>
      </c>
      <c r="C363" s="8">
        <v>79.5</v>
      </c>
      <c r="D363" s="8" t="s">
        <v>1010</v>
      </c>
      <c r="E363" s="8" t="s">
        <v>1014</v>
      </c>
      <c r="F363" s="8" t="s">
        <v>1019</v>
      </c>
      <c r="G363" s="8" t="s">
        <v>1023</v>
      </c>
      <c r="H363" s="8">
        <v>50184.78</v>
      </c>
      <c r="I363" s="8">
        <v>573</v>
      </c>
      <c r="J363" s="8">
        <v>0</v>
      </c>
      <c r="K363" s="8">
        <v>1</v>
      </c>
      <c r="L363" s="8">
        <v>2546.73</v>
      </c>
      <c r="M363" s="8">
        <v>9945.39</v>
      </c>
      <c r="N363" s="8">
        <v>16933.14</v>
      </c>
      <c r="O363" s="8" t="str">
        <f t="shared" si="35"/>
        <v>Fraud</v>
      </c>
      <c r="P363" s="8">
        <v>1</v>
      </c>
      <c r="Q363" s="8" t="s">
        <v>1027</v>
      </c>
      <c r="R363" s="8" t="s">
        <v>1028</v>
      </c>
      <c r="S363" s="8">
        <v>3797</v>
      </c>
      <c r="T363" s="8">
        <v>204</v>
      </c>
      <c r="U363" s="8">
        <v>5309.43</v>
      </c>
      <c r="V363" s="8">
        <v>5.2</v>
      </c>
      <c r="W363" s="8">
        <v>10.1</v>
      </c>
      <c r="X363" s="8">
        <v>1586.6</v>
      </c>
      <c r="Y363" s="20" t="str">
        <f t="shared" si="30"/>
        <v>Normal</v>
      </c>
      <c r="Z363" s="20">
        <f t="shared" si="31"/>
        <v>0.25881102577313925</v>
      </c>
      <c r="AA363" s="20">
        <f t="shared" si="32"/>
        <v>-0.49626325774722757</v>
      </c>
      <c r="AB363" s="20">
        <f t="shared" si="33"/>
        <v>-2.2451469566115265</v>
      </c>
      <c r="AC363" s="20">
        <f t="shared" si="34"/>
        <v>-1.6924571547858192</v>
      </c>
      <c r="AD363" s="20"/>
    </row>
    <row r="364" spans="1:30" x14ac:dyDescent="0.45">
      <c r="A364" s="8" t="s">
        <v>336</v>
      </c>
      <c r="B364" s="8" t="s">
        <v>832</v>
      </c>
      <c r="C364" s="8">
        <v>62.2</v>
      </c>
      <c r="D364" s="8" t="s">
        <v>1009</v>
      </c>
      <c r="E364" s="8" t="s">
        <v>1013</v>
      </c>
      <c r="F364" s="8" t="s">
        <v>1018</v>
      </c>
      <c r="G364" s="8" t="s">
        <v>1020</v>
      </c>
      <c r="H364" s="8">
        <v>70699.67</v>
      </c>
      <c r="I364" s="8">
        <v>499</v>
      </c>
      <c r="J364" s="8">
        <v>0</v>
      </c>
      <c r="K364" s="8">
        <v>0</v>
      </c>
      <c r="L364" s="8">
        <v>2565.19</v>
      </c>
      <c r="M364" s="8">
        <v>30592.880000000001</v>
      </c>
      <c r="N364" s="8">
        <v>60382.96</v>
      </c>
      <c r="O364" s="8" t="str">
        <f t="shared" si="35"/>
        <v>Fraud</v>
      </c>
      <c r="P364" s="8">
        <v>1</v>
      </c>
      <c r="Q364" s="8" t="s">
        <v>1024</v>
      </c>
      <c r="R364" s="8" t="s">
        <v>1029</v>
      </c>
      <c r="S364" s="8">
        <v>1262</v>
      </c>
      <c r="T364" s="8">
        <v>247</v>
      </c>
      <c r="U364" s="8">
        <v>8889.5400000000009</v>
      </c>
      <c r="V364" s="8">
        <v>7.6</v>
      </c>
      <c r="W364" s="8">
        <v>4.8</v>
      </c>
      <c r="X364" s="8">
        <v>1714.07</v>
      </c>
      <c r="Y364" s="20" t="str">
        <f t="shared" si="30"/>
        <v>Normal</v>
      </c>
      <c r="Z364" s="20">
        <f t="shared" si="31"/>
        <v>0.26762019730171605</v>
      </c>
      <c r="AA364" s="20">
        <f t="shared" si="32"/>
        <v>0.53415872469553716</v>
      </c>
      <c r="AB364" s="20">
        <f t="shared" si="33"/>
        <v>8.7213715856554359E-3</v>
      </c>
      <c r="AC364" s="20">
        <f t="shared" si="34"/>
        <v>-0.83141672990722637</v>
      </c>
      <c r="AD364" s="20"/>
    </row>
    <row r="365" spans="1:30" x14ac:dyDescent="0.45">
      <c r="A365" s="8" t="s">
        <v>392</v>
      </c>
      <c r="B365" s="8" t="s">
        <v>886</v>
      </c>
      <c r="C365" s="8">
        <v>38.4</v>
      </c>
      <c r="D365" s="8" t="s">
        <v>1009</v>
      </c>
      <c r="E365" s="8" t="s">
        <v>1014</v>
      </c>
      <c r="F365" s="8" t="s">
        <v>1017</v>
      </c>
      <c r="G365" s="8" t="s">
        <v>1020</v>
      </c>
      <c r="H365" s="8">
        <v>87495.66</v>
      </c>
      <c r="I365" s="8">
        <v>735</v>
      </c>
      <c r="J365" s="8">
        <v>1</v>
      </c>
      <c r="K365" s="8">
        <v>1</v>
      </c>
      <c r="L365" s="8">
        <v>2569.86</v>
      </c>
      <c r="M365" s="8">
        <v>15921.75</v>
      </c>
      <c r="N365" s="8">
        <v>59758.22</v>
      </c>
      <c r="O365" s="8" t="str">
        <f t="shared" si="35"/>
        <v>Not Fraud</v>
      </c>
      <c r="P365" s="8">
        <v>0</v>
      </c>
      <c r="Q365" s="8" t="s">
        <v>1025</v>
      </c>
      <c r="R365" s="8" t="s">
        <v>1029</v>
      </c>
      <c r="S365" s="8">
        <v>1068</v>
      </c>
      <c r="T365" s="8">
        <v>16</v>
      </c>
      <c r="U365" s="8">
        <v>9611.57</v>
      </c>
      <c r="V365" s="8">
        <v>3.6</v>
      </c>
      <c r="W365" s="8">
        <v>3.1</v>
      </c>
      <c r="X365" s="8">
        <v>0</v>
      </c>
      <c r="Y365" s="20" t="str">
        <f t="shared" si="30"/>
        <v>Normal</v>
      </c>
      <c r="Z365" s="20">
        <f t="shared" si="31"/>
        <v>0.26984873636122059</v>
      </c>
      <c r="AA365" s="20">
        <f t="shared" si="32"/>
        <v>-0.19801040866040678</v>
      </c>
      <c r="AB365" s="20">
        <f t="shared" si="33"/>
        <v>-2.3685706265481877E-2</v>
      </c>
      <c r="AC365" s="20">
        <f t="shared" si="34"/>
        <v>-0.126464065483649</v>
      </c>
      <c r="AD365" s="20"/>
    </row>
    <row r="366" spans="1:30" x14ac:dyDescent="0.45">
      <c r="A366" s="8" t="s">
        <v>58</v>
      </c>
      <c r="B366" s="8" t="s">
        <v>558</v>
      </c>
      <c r="C366" s="8">
        <v>31.7</v>
      </c>
      <c r="D366" s="8" t="s">
        <v>1010</v>
      </c>
      <c r="E366" s="8" t="s">
        <v>1014</v>
      </c>
      <c r="F366" s="8" t="s">
        <v>1019</v>
      </c>
      <c r="G366" s="8" t="s">
        <v>1020</v>
      </c>
      <c r="H366" s="8">
        <v>60661.11</v>
      </c>
      <c r="I366" s="8">
        <v>754</v>
      </c>
      <c r="J366" s="8">
        <v>0</v>
      </c>
      <c r="K366" s="8">
        <v>1</v>
      </c>
      <c r="L366" s="8">
        <v>2632.59</v>
      </c>
      <c r="M366" s="8">
        <v>13127.74</v>
      </c>
      <c r="N366" s="8">
        <v>50558.19</v>
      </c>
      <c r="O366" s="8" t="str">
        <f t="shared" si="35"/>
        <v>Fraud</v>
      </c>
      <c r="P366" s="8">
        <v>1</v>
      </c>
      <c r="Q366" s="8" t="s">
        <v>1024</v>
      </c>
      <c r="R366" s="8" t="s">
        <v>1028</v>
      </c>
      <c r="S366" s="8">
        <v>822</v>
      </c>
      <c r="T366" s="8">
        <v>221</v>
      </c>
      <c r="U366" s="8">
        <v>7264.63</v>
      </c>
      <c r="V366" s="8">
        <v>3.9</v>
      </c>
      <c r="W366" s="8">
        <v>6.6</v>
      </c>
      <c r="X366" s="8">
        <v>1793.36</v>
      </c>
      <c r="Y366" s="20" t="str">
        <f t="shared" si="30"/>
        <v>Normal</v>
      </c>
      <c r="Z366" s="20">
        <f t="shared" si="31"/>
        <v>0.29978369464874066</v>
      </c>
      <c r="AA366" s="20">
        <f t="shared" si="32"/>
        <v>-0.33744669477387185</v>
      </c>
      <c r="AB366" s="20">
        <f t="shared" si="33"/>
        <v>-0.50091797639833668</v>
      </c>
      <c r="AC366" s="20">
        <f t="shared" si="34"/>
        <v>-1.2527500135645722</v>
      </c>
      <c r="AD366" s="20"/>
    </row>
    <row r="367" spans="1:30" x14ac:dyDescent="0.45">
      <c r="A367" s="8" t="s">
        <v>101</v>
      </c>
      <c r="B367" s="8" t="s">
        <v>601</v>
      </c>
      <c r="C367" s="8">
        <v>51.4</v>
      </c>
      <c r="D367" s="8" t="s">
        <v>1010</v>
      </c>
      <c r="E367" s="8" t="s">
        <v>1011</v>
      </c>
      <c r="F367" s="8" t="s">
        <v>1016</v>
      </c>
      <c r="G367" s="8" t="s">
        <v>1023</v>
      </c>
      <c r="H367" s="8">
        <v>107656.18</v>
      </c>
      <c r="I367" s="8">
        <v>608</v>
      </c>
      <c r="J367" s="8">
        <v>0</v>
      </c>
      <c r="K367" s="8">
        <v>1</v>
      </c>
      <c r="L367" s="8">
        <v>2635.17</v>
      </c>
      <c r="M367" s="8">
        <v>1669.93</v>
      </c>
      <c r="N367" s="8">
        <v>70422.45</v>
      </c>
      <c r="O367" s="8" t="str">
        <f t="shared" si="35"/>
        <v>Not Fraud</v>
      </c>
      <c r="P367" s="8">
        <v>0</v>
      </c>
      <c r="Q367" s="8" t="s">
        <v>1027</v>
      </c>
      <c r="R367" s="8" t="s">
        <v>1026</v>
      </c>
      <c r="S367" s="8">
        <v>1891</v>
      </c>
      <c r="T367" s="8">
        <v>111</v>
      </c>
      <c r="U367" s="8">
        <v>6951.33</v>
      </c>
      <c r="V367" s="8">
        <v>4.7</v>
      </c>
      <c r="W367" s="8">
        <v>3.3</v>
      </c>
      <c r="X367" s="8">
        <v>0</v>
      </c>
      <c r="Y367" s="20" t="str">
        <f t="shared" si="30"/>
        <v>Normal</v>
      </c>
      <c r="Z367" s="20">
        <f t="shared" si="31"/>
        <v>0.30101487896855256</v>
      </c>
      <c r="AA367" s="20">
        <f t="shared" si="32"/>
        <v>-0.90925369381600885</v>
      </c>
      <c r="AB367" s="20">
        <f t="shared" si="33"/>
        <v>0.52949886944991176</v>
      </c>
      <c r="AC367" s="20">
        <f t="shared" si="34"/>
        <v>0.71970292378967204</v>
      </c>
      <c r="AD367" s="20"/>
    </row>
    <row r="368" spans="1:30" x14ac:dyDescent="0.45">
      <c r="A368" s="8" t="s">
        <v>170</v>
      </c>
      <c r="B368" s="8" t="s">
        <v>668</v>
      </c>
      <c r="C368" s="8">
        <v>30.2</v>
      </c>
      <c r="D368" s="8" t="s">
        <v>1009</v>
      </c>
      <c r="E368" s="8" t="s">
        <v>1011</v>
      </c>
      <c r="F368" s="8" t="s">
        <v>1016</v>
      </c>
      <c r="G368" s="8" t="s">
        <v>1020</v>
      </c>
      <c r="H368" s="8">
        <v>56633.36</v>
      </c>
      <c r="I368" s="8">
        <v>597</v>
      </c>
      <c r="J368" s="8">
        <v>0</v>
      </c>
      <c r="K368" s="8">
        <v>1</v>
      </c>
      <c r="L368" s="8">
        <v>2638.11</v>
      </c>
      <c r="M368" s="8">
        <v>6586.78</v>
      </c>
      <c r="N368" s="8">
        <v>40529.08</v>
      </c>
      <c r="O368" s="8" t="str">
        <f t="shared" si="35"/>
        <v>Fraud</v>
      </c>
      <c r="P368" s="8">
        <v>1</v>
      </c>
      <c r="Q368" s="8" t="s">
        <v>1026</v>
      </c>
      <c r="R368" s="8" t="s">
        <v>1030</v>
      </c>
      <c r="S368" s="8">
        <v>2368</v>
      </c>
      <c r="T368" s="8">
        <v>80</v>
      </c>
      <c r="U368" s="8">
        <v>2992.49</v>
      </c>
      <c r="V368" s="8">
        <v>3.6</v>
      </c>
      <c r="W368" s="8">
        <v>8.5</v>
      </c>
      <c r="X368" s="8">
        <v>2154.06</v>
      </c>
      <c r="Y368" s="20" t="str">
        <f t="shared" si="30"/>
        <v>Normal</v>
      </c>
      <c r="Z368" s="20">
        <f t="shared" si="31"/>
        <v>0.3024178564492685</v>
      </c>
      <c r="AA368" s="20">
        <f t="shared" si="32"/>
        <v>-0.66387615279897938</v>
      </c>
      <c r="AB368" s="20">
        <f t="shared" si="33"/>
        <v>-1.0211570335222935</v>
      </c>
      <c r="AC368" s="20">
        <f t="shared" si="34"/>
        <v>-1.421800667567823</v>
      </c>
      <c r="AD368" s="20"/>
    </row>
    <row r="369" spans="1:30" x14ac:dyDescent="0.45">
      <c r="A369" s="8" t="s">
        <v>82</v>
      </c>
      <c r="B369" s="8" t="s">
        <v>582</v>
      </c>
      <c r="C369" s="8">
        <v>64.599999999999994</v>
      </c>
      <c r="D369" s="8" t="s">
        <v>1009</v>
      </c>
      <c r="E369" s="8" t="s">
        <v>1013</v>
      </c>
      <c r="F369" s="8" t="s">
        <v>1016</v>
      </c>
      <c r="G369" s="8" t="s">
        <v>1022</v>
      </c>
      <c r="H369" s="8">
        <v>93481.77</v>
      </c>
      <c r="I369" s="8">
        <v>635</v>
      </c>
      <c r="J369" s="8">
        <v>0</v>
      </c>
      <c r="K369" s="8">
        <v>0</v>
      </c>
      <c r="L369" s="8">
        <v>2663.88</v>
      </c>
      <c r="M369" s="8">
        <v>16179.56</v>
      </c>
      <c r="N369" s="8">
        <v>53136.15</v>
      </c>
      <c r="O369" s="8" t="str">
        <f t="shared" si="35"/>
        <v>Fraud</v>
      </c>
      <c r="P369" s="8">
        <v>1</v>
      </c>
      <c r="Q369" s="8" t="s">
        <v>1025</v>
      </c>
      <c r="R369" s="8" t="s">
        <v>1029</v>
      </c>
      <c r="S369" s="8">
        <v>3377</v>
      </c>
      <c r="T369" s="8">
        <v>280</v>
      </c>
      <c r="U369" s="8">
        <v>4997.4399999999996</v>
      </c>
      <c r="V369" s="8">
        <v>3.8</v>
      </c>
      <c r="W369" s="8">
        <v>3.8</v>
      </c>
      <c r="X369" s="8">
        <v>1762.99</v>
      </c>
      <c r="Y369" s="20" t="str">
        <f t="shared" si="30"/>
        <v>Normal</v>
      </c>
      <c r="Z369" s="20">
        <f t="shared" si="31"/>
        <v>0.31471538355064571</v>
      </c>
      <c r="AA369" s="20">
        <f t="shared" si="32"/>
        <v>-0.18514428830904356</v>
      </c>
      <c r="AB369" s="20">
        <f t="shared" si="33"/>
        <v>-0.36719170560229647</v>
      </c>
      <c r="AC369" s="20">
        <f t="shared" si="34"/>
        <v>0.12478186845847766</v>
      </c>
      <c r="AD369" s="20"/>
    </row>
    <row r="370" spans="1:30" x14ac:dyDescent="0.45">
      <c r="A370" s="8" t="s">
        <v>478</v>
      </c>
      <c r="B370" s="8" t="s">
        <v>967</v>
      </c>
      <c r="C370" s="8">
        <v>38.1</v>
      </c>
      <c r="D370" s="8" t="s">
        <v>1009</v>
      </c>
      <c r="E370" s="8" t="s">
        <v>1014</v>
      </c>
      <c r="F370" s="8" t="s">
        <v>1018</v>
      </c>
      <c r="G370" s="8" t="s">
        <v>1023</v>
      </c>
      <c r="H370" s="8">
        <v>74407.899999999994</v>
      </c>
      <c r="I370" s="8">
        <v>794</v>
      </c>
      <c r="J370" s="8">
        <v>1</v>
      </c>
      <c r="K370" s="8">
        <v>1</v>
      </c>
      <c r="L370" s="8">
        <v>2698.07</v>
      </c>
      <c r="M370" s="8">
        <v>103452.39</v>
      </c>
      <c r="N370" s="8">
        <v>46793.58</v>
      </c>
      <c r="O370" s="8" t="str">
        <f t="shared" si="35"/>
        <v>Not Fraud</v>
      </c>
      <c r="P370" s="8">
        <v>0</v>
      </c>
      <c r="Q370" s="8" t="s">
        <v>1025</v>
      </c>
      <c r="R370" s="8" t="s">
        <v>1029</v>
      </c>
      <c r="S370" s="8">
        <v>3092</v>
      </c>
      <c r="T370" s="8">
        <v>208</v>
      </c>
      <c r="U370" s="8">
        <v>3621.04</v>
      </c>
      <c r="V370" s="8">
        <v>5.2</v>
      </c>
      <c r="W370" s="8">
        <v>6</v>
      </c>
      <c r="X370" s="8">
        <v>0</v>
      </c>
      <c r="Y370" s="20" t="str">
        <f t="shared" si="30"/>
        <v>Normal</v>
      </c>
      <c r="Z370" s="20">
        <f t="shared" si="31"/>
        <v>0.33103096180427732</v>
      </c>
      <c r="AA370" s="20">
        <f t="shared" si="32"/>
        <v>4.170244308657967</v>
      </c>
      <c r="AB370" s="20">
        <f t="shared" si="33"/>
        <v>-0.69619922835782455</v>
      </c>
      <c r="AC370" s="20">
        <f t="shared" si="34"/>
        <v>-0.67577680521118644</v>
      </c>
      <c r="AD370" s="20"/>
    </row>
    <row r="371" spans="1:30" x14ac:dyDescent="0.45">
      <c r="A371" s="8" t="s">
        <v>330</v>
      </c>
      <c r="B371" s="8" t="s">
        <v>826</v>
      </c>
      <c r="C371" s="8">
        <v>41.1</v>
      </c>
      <c r="D371" s="8" t="s">
        <v>1010</v>
      </c>
      <c r="E371" s="8" t="s">
        <v>1012</v>
      </c>
      <c r="F371" s="8" t="s">
        <v>1016</v>
      </c>
      <c r="G371" s="8" t="s">
        <v>1020</v>
      </c>
      <c r="H371" s="8">
        <v>95582.25</v>
      </c>
      <c r="I371" s="8">
        <v>707</v>
      </c>
      <c r="J371" s="8">
        <v>0</v>
      </c>
      <c r="K371" s="8">
        <v>0</v>
      </c>
      <c r="L371" s="8">
        <v>2709.56</v>
      </c>
      <c r="M371" s="8">
        <v>20725.07</v>
      </c>
      <c r="N371" s="8">
        <v>69243.45</v>
      </c>
      <c r="O371" s="8" t="str">
        <f t="shared" si="35"/>
        <v>Not Fraud</v>
      </c>
      <c r="P371" s="8">
        <v>0</v>
      </c>
      <c r="Q371" s="8" t="s">
        <v>1026</v>
      </c>
      <c r="R371" s="8" t="s">
        <v>1026</v>
      </c>
      <c r="S371" s="8">
        <v>4251</v>
      </c>
      <c r="T371" s="8">
        <v>122</v>
      </c>
      <c r="U371" s="8">
        <v>9774.4599999999991</v>
      </c>
      <c r="V371" s="8">
        <v>3.6</v>
      </c>
      <c r="W371" s="8">
        <v>10</v>
      </c>
      <c r="X371" s="8">
        <v>0</v>
      </c>
      <c r="Y371" s="20" t="str">
        <f t="shared" si="30"/>
        <v>Normal</v>
      </c>
      <c r="Z371" s="20">
        <f t="shared" si="31"/>
        <v>0.33651402685646287</v>
      </c>
      <c r="AA371" s="20">
        <f t="shared" si="32"/>
        <v>4.1701368253251013E-2</v>
      </c>
      <c r="AB371" s="20">
        <f t="shared" si="33"/>
        <v>0.4683407159996909</v>
      </c>
      <c r="AC371" s="20">
        <f t="shared" si="34"/>
        <v>0.21294213603237075</v>
      </c>
      <c r="AD371" s="20"/>
    </row>
    <row r="372" spans="1:30" x14ac:dyDescent="0.45">
      <c r="A372" s="8" t="s">
        <v>391</v>
      </c>
      <c r="B372" s="8" t="s">
        <v>885</v>
      </c>
      <c r="C372" s="8">
        <v>51.5</v>
      </c>
      <c r="D372" s="8" t="s">
        <v>1009</v>
      </c>
      <c r="E372" s="8" t="s">
        <v>1012</v>
      </c>
      <c r="F372" s="8" t="s">
        <v>1016</v>
      </c>
      <c r="G372" s="8" t="s">
        <v>1021</v>
      </c>
      <c r="H372" s="8">
        <v>53989.4</v>
      </c>
      <c r="I372" s="8">
        <v>701</v>
      </c>
      <c r="J372" s="8">
        <v>0</v>
      </c>
      <c r="K372" s="8">
        <v>1</v>
      </c>
      <c r="L372" s="8">
        <v>2720.11</v>
      </c>
      <c r="M372" s="8">
        <v>36211.78</v>
      </c>
      <c r="N372" s="8">
        <v>30976.49</v>
      </c>
      <c r="O372" s="8" t="str">
        <f t="shared" si="35"/>
        <v>Fraud</v>
      </c>
      <c r="P372" s="8">
        <v>1</v>
      </c>
      <c r="Q372" s="8" t="s">
        <v>1025</v>
      </c>
      <c r="R372" s="8" t="s">
        <v>1028</v>
      </c>
      <c r="S372" s="8">
        <v>40</v>
      </c>
      <c r="T372" s="8">
        <v>276</v>
      </c>
      <c r="U372" s="8">
        <v>5602.96</v>
      </c>
      <c r="V372" s="8">
        <v>0.8</v>
      </c>
      <c r="W372" s="8">
        <v>7.1</v>
      </c>
      <c r="X372" s="8">
        <v>1569.99</v>
      </c>
      <c r="Y372" s="20" t="str">
        <f t="shared" si="30"/>
        <v>Normal</v>
      </c>
      <c r="Z372" s="20">
        <f t="shared" si="31"/>
        <v>0.34154852087739934</v>
      </c>
      <c r="AA372" s="20">
        <f t="shared" si="32"/>
        <v>0.81457237677371463</v>
      </c>
      <c r="AB372" s="20">
        <f t="shared" si="33"/>
        <v>-1.5166776145800085</v>
      </c>
      <c r="AC372" s="20">
        <f t="shared" si="34"/>
        <v>-1.5327715985239239</v>
      </c>
      <c r="AD372" s="20"/>
    </row>
    <row r="373" spans="1:30" x14ac:dyDescent="0.45">
      <c r="A373" s="8" t="s">
        <v>250</v>
      </c>
      <c r="B373" s="8" t="s">
        <v>748</v>
      </c>
      <c r="C373" s="8">
        <v>33.799999999999997</v>
      </c>
      <c r="D373" s="8" t="s">
        <v>1010</v>
      </c>
      <c r="E373" s="8" t="s">
        <v>1014</v>
      </c>
      <c r="F373" s="8" t="s">
        <v>1016</v>
      </c>
      <c r="G373" s="8" t="s">
        <v>1023</v>
      </c>
      <c r="H373" s="8">
        <v>69678.86</v>
      </c>
      <c r="I373" s="8">
        <v>627</v>
      </c>
      <c r="J373" s="8">
        <v>0</v>
      </c>
      <c r="K373" s="8">
        <v>1</v>
      </c>
      <c r="L373" s="8">
        <v>2800.59</v>
      </c>
      <c r="M373" s="8">
        <v>10463.549999999999</v>
      </c>
      <c r="N373" s="8">
        <v>56744.14</v>
      </c>
      <c r="O373" s="8" t="str">
        <f t="shared" si="35"/>
        <v>Fraud</v>
      </c>
      <c r="P373" s="8">
        <v>1</v>
      </c>
      <c r="Q373" s="8" t="s">
        <v>1025</v>
      </c>
      <c r="R373" s="8" t="s">
        <v>1029</v>
      </c>
      <c r="S373" s="8">
        <v>969</v>
      </c>
      <c r="T373" s="8">
        <v>31</v>
      </c>
      <c r="U373" s="8">
        <v>8367.16</v>
      </c>
      <c r="V373" s="8">
        <v>2.7</v>
      </c>
      <c r="W373" s="8">
        <v>5.9</v>
      </c>
      <c r="X373" s="8">
        <v>1913.14</v>
      </c>
      <c r="Y373" s="20" t="str">
        <f t="shared" si="30"/>
        <v>Normal</v>
      </c>
      <c r="Z373" s="20">
        <f t="shared" si="31"/>
        <v>0.37995383640393554</v>
      </c>
      <c r="AA373" s="20">
        <f t="shared" si="32"/>
        <v>-0.47040425723808371</v>
      </c>
      <c r="AB373" s="20">
        <f t="shared" si="33"/>
        <v>-0.18003478781869814</v>
      </c>
      <c r="AC373" s="20">
        <f t="shared" si="34"/>
        <v>-0.87426164285193697</v>
      </c>
      <c r="AD373" s="20"/>
    </row>
    <row r="374" spans="1:30" x14ac:dyDescent="0.45">
      <c r="A374" s="8" t="s">
        <v>366</v>
      </c>
      <c r="B374" s="8" t="s">
        <v>861</v>
      </c>
      <c r="C374" s="8">
        <v>42.4</v>
      </c>
      <c r="D374" s="8" t="s">
        <v>1009</v>
      </c>
      <c r="E374" s="8" t="s">
        <v>1014</v>
      </c>
      <c r="F374" s="8" t="s">
        <v>1019</v>
      </c>
      <c r="G374" s="8" t="s">
        <v>1021</v>
      </c>
      <c r="H374" s="8">
        <v>98113.67</v>
      </c>
      <c r="I374" s="8">
        <v>750</v>
      </c>
      <c r="J374" s="8">
        <v>0</v>
      </c>
      <c r="K374" s="8">
        <v>1</v>
      </c>
      <c r="L374" s="8">
        <v>2823.72</v>
      </c>
      <c r="M374" s="8">
        <v>7481.19</v>
      </c>
      <c r="N374" s="8">
        <v>47991.53</v>
      </c>
      <c r="O374" s="8" t="str">
        <f t="shared" si="35"/>
        <v>Not Fraud</v>
      </c>
      <c r="P374" s="8">
        <v>0</v>
      </c>
      <c r="Q374" s="8" t="s">
        <v>1024</v>
      </c>
      <c r="R374" s="8" t="s">
        <v>1030</v>
      </c>
      <c r="S374" s="8">
        <v>526</v>
      </c>
      <c r="T374" s="8">
        <v>69</v>
      </c>
      <c r="U374" s="8">
        <v>9358.7999999999993</v>
      </c>
      <c r="V374" s="8">
        <v>3.8</v>
      </c>
      <c r="W374" s="8">
        <v>4.0999999999999996</v>
      </c>
      <c r="X374" s="8">
        <v>0</v>
      </c>
      <c r="Y374" s="20" t="str">
        <f t="shared" si="30"/>
        <v>Normal</v>
      </c>
      <c r="Z374" s="20">
        <f t="shared" si="31"/>
        <v>0.39099154699201666</v>
      </c>
      <c r="AA374" s="20">
        <f t="shared" si="32"/>
        <v>-0.61924023214631729</v>
      </c>
      <c r="AB374" s="20">
        <f t="shared" si="33"/>
        <v>-0.63405808338268299</v>
      </c>
      <c r="AC374" s="20">
        <f t="shared" si="34"/>
        <v>0.31918959591863705</v>
      </c>
      <c r="AD374" s="20"/>
    </row>
    <row r="375" spans="1:30" x14ac:dyDescent="0.45">
      <c r="A375" s="8" t="s">
        <v>479</v>
      </c>
      <c r="B375" s="8" t="s">
        <v>968</v>
      </c>
      <c r="C375" s="8">
        <v>48.4</v>
      </c>
      <c r="D375" s="8" t="s">
        <v>1009</v>
      </c>
      <c r="E375" s="8" t="s">
        <v>1014</v>
      </c>
      <c r="F375" s="8" t="s">
        <v>1016</v>
      </c>
      <c r="G375" s="8" t="s">
        <v>1021</v>
      </c>
      <c r="H375" s="8">
        <v>108410.94</v>
      </c>
      <c r="I375" s="8">
        <v>706</v>
      </c>
      <c r="J375" s="8">
        <v>1</v>
      </c>
      <c r="K375" s="8">
        <v>0</v>
      </c>
      <c r="L375" s="8">
        <v>2828.79</v>
      </c>
      <c r="M375" s="8">
        <v>5298.29</v>
      </c>
      <c r="N375" s="8">
        <v>73976.570000000007</v>
      </c>
      <c r="O375" s="8" t="str">
        <f t="shared" si="35"/>
        <v>Not Fraud</v>
      </c>
      <c r="P375" s="8">
        <v>0</v>
      </c>
      <c r="Q375" s="8" t="s">
        <v>1024</v>
      </c>
      <c r="R375" s="8" t="s">
        <v>1029</v>
      </c>
      <c r="S375" s="8">
        <v>4048</v>
      </c>
      <c r="T375" s="8">
        <v>125</v>
      </c>
      <c r="U375" s="8">
        <v>7779.03</v>
      </c>
      <c r="V375" s="8">
        <v>5.5</v>
      </c>
      <c r="W375" s="8">
        <v>6.4</v>
      </c>
      <c r="X375" s="8">
        <v>0</v>
      </c>
      <c r="Y375" s="20" t="str">
        <f t="shared" si="30"/>
        <v>Normal</v>
      </c>
      <c r="Z375" s="20">
        <f t="shared" si="31"/>
        <v>0.39341096734141456</v>
      </c>
      <c r="AA375" s="20">
        <f t="shared" si="32"/>
        <v>-0.72817880751186093</v>
      </c>
      <c r="AB375" s="20">
        <f t="shared" si="33"/>
        <v>0.71386139391174364</v>
      </c>
      <c r="AC375" s="20">
        <f t="shared" si="34"/>
        <v>0.75138132280040892</v>
      </c>
      <c r="AD375" s="20"/>
    </row>
    <row r="376" spans="1:30" x14ac:dyDescent="0.45">
      <c r="A376" s="8" t="s">
        <v>280</v>
      </c>
      <c r="B376" s="8" t="s">
        <v>777</v>
      </c>
      <c r="C376" s="8">
        <v>39.4</v>
      </c>
      <c r="D376" s="8" t="s">
        <v>1010</v>
      </c>
      <c r="E376" s="8" t="s">
        <v>1011</v>
      </c>
      <c r="F376" s="8" t="s">
        <v>1016</v>
      </c>
      <c r="G376" s="8" t="s">
        <v>1022</v>
      </c>
      <c r="H376" s="8">
        <v>87747.07</v>
      </c>
      <c r="I376" s="8">
        <v>480</v>
      </c>
      <c r="J376" s="8">
        <v>1</v>
      </c>
      <c r="K376" s="8">
        <v>0</v>
      </c>
      <c r="L376" s="8">
        <v>2844.82</v>
      </c>
      <c r="M376" s="8">
        <v>33412.03</v>
      </c>
      <c r="N376" s="8">
        <v>61017.75</v>
      </c>
      <c r="O376" s="8" t="str">
        <f t="shared" si="35"/>
        <v>Not Fraud</v>
      </c>
      <c r="P376" s="8">
        <v>0</v>
      </c>
      <c r="Q376" s="8" t="s">
        <v>1026</v>
      </c>
      <c r="R376" s="8" t="s">
        <v>1026</v>
      </c>
      <c r="S376" s="8">
        <v>4920</v>
      </c>
      <c r="T376" s="8">
        <v>45</v>
      </c>
      <c r="U376" s="8">
        <v>5130.71</v>
      </c>
      <c r="V376" s="8">
        <v>0.5</v>
      </c>
      <c r="W376" s="8">
        <v>9</v>
      </c>
      <c r="X376" s="8">
        <v>0</v>
      </c>
      <c r="Y376" s="20" t="str">
        <f t="shared" si="30"/>
        <v>Normal</v>
      </c>
      <c r="Z376" s="20">
        <f t="shared" si="31"/>
        <v>0.4010605350338895</v>
      </c>
      <c r="AA376" s="20">
        <f t="shared" si="32"/>
        <v>0.67484963345992055</v>
      </c>
      <c r="AB376" s="20">
        <f t="shared" si="33"/>
        <v>4.1649772118874932E-2</v>
      </c>
      <c r="AC376" s="20">
        <f t="shared" si="34"/>
        <v>-0.11591201410931892</v>
      </c>
      <c r="AD376" s="20"/>
    </row>
    <row r="377" spans="1:30" x14ac:dyDescent="0.45">
      <c r="A377" s="8" t="s">
        <v>321</v>
      </c>
      <c r="B377" s="8" t="s">
        <v>817</v>
      </c>
      <c r="C377" s="8">
        <v>62.2</v>
      </c>
      <c r="D377" s="8" t="s">
        <v>1009</v>
      </c>
      <c r="E377" s="8" t="s">
        <v>1013</v>
      </c>
      <c r="F377" s="8" t="s">
        <v>1016</v>
      </c>
      <c r="G377" s="8" t="s">
        <v>1022</v>
      </c>
      <c r="H377" s="8">
        <v>81450.45</v>
      </c>
      <c r="I377" s="8">
        <v>562</v>
      </c>
      <c r="J377" s="8">
        <v>1</v>
      </c>
      <c r="K377" s="8">
        <v>0</v>
      </c>
      <c r="L377" s="8">
        <v>2850.24</v>
      </c>
      <c r="M377" s="8">
        <v>10002.84</v>
      </c>
      <c r="N377" s="8">
        <v>56392.17</v>
      </c>
      <c r="O377" s="8" t="str">
        <f t="shared" si="35"/>
        <v>Not Fraud</v>
      </c>
      <c r="P377" s="8">
        <v>0</v>
      </c>
      <c r="Q377" s="8" t="s">
        <v>1024</v>
      </c>
      <c r="R377" s="8" t="s">
        <v>1026</v>
      </c>
      <c r="S377" s="8">
        <v>4273</v>
      </c>
      <c r="T377" s="8">
        <v>233</v>
      </c>
      <c r="U377" s="8">
        <v>3166.89</v>
      </c>
      <c r="V377" s="8">
        <v>2.9</v>
      </c>
      <c r="W377" s="8">
        <v>3.9</v>
      </c>
      <c r="X377" s="8">
        <v>0</v>
      </c>
      <c r="Y377" s="20" t="str">
        <f t="shared" si="30"/>
        <v>Normal</v>
      </c>
      <c r="Z377" s="20">
        <f t="shared" si="31"/>
        <v>0.40364697651194381</v>
      </c>
      <c r="AA377" s="20">
        <f t="shared" si="32"/>
        <v>-0.49339619047215749</v>
      </c>
      <c r="AB377" s="20">
        <f t="shared" si="33"/>
        <v>-0.19829249373038119</v>
      </c>
      <c r="AC377" s="20">
        <f t="shared" si="34"/>
        <v>-0.38019051426696315</v>
      </c>
      <c r="AD377" s="20"/>
    </row>
    <row r="378" spans="1:30" x14ac:dyDescent="0.45">
      <c r="A378" s="8" t="s">
        <v>517</v>
      </c>
      <c r="B378" s="8" t="s">
        <v>1003</v>
      </c>
      <c r="C378" s="8">
        <v>72.8</v>
      </c>
      <c r="D378" s="8" t="s">
        <v>1009</v>
      </c>
      <c r="E378" s="8" t="s">
        <v>1012</v>
      </c>
      <c r="F378" s="8" t="s">
        <v>1016</v>
      </c>
      <c r="G378" s="8" t="s">
        <v>1022</v>
      </c>
      <c r="H378" s="8">
        <v>86113.59</v>
      </c>
      <c r="I378" s="8">
        <v>690</v>
      </c>
      <c r="J378" s="8">
        <v>0</v>
      </c>
      <c r="K378" s="8">
        <v>1</v>
      </c>
      <c r="L378" s="8">
        <v>2872.55</v>
      </c>
      <c r="M378" s="8">
        <v>16218.33</v>
      </c>
      <c r="N378" s="8">
        <v>51730.7</v>
      </c>
      <c r="O378" s="8" t="str">
        <f t="shared" si="35"/>
        <v>Fraud</v>
      </c>
      <c r="P378" s="8">
        <v>1</v>
      </c>
      <c r="Q378" s="8" t="s">
        <v>1027</v>
      </c>
      <c r="R378" s="8" t="s">
        <v>1029</v>
      </c>
      <c r="S378" s="8">
        <v>1747</v>
      </c>
      <c r="T378" s="8">
        <v>169</v>
      </c>
      <c r="U378" s="8">
        <v>7940.99</v>
      </c>
      <c r="V378" s="8">
        <v>8.6999999999999993</v>
      </c>
      <c r="W378" s="8">
        <v>5.5</v>
      </c>
      <c r="X378" s="8">
        <v>1731.1</v>
      </c>
      <c r="Y378" s="20" t="str">
        <f t="shared" si="30"/>
        <v>Normal</v>
      </c>
      <c r="Z378" s="20">
        <f t="shared" si="31"/>
        <v>0.41429338045574399</v>
      </c>
      <c r="AA378" s="20">
        <f t="shared" si="32"/>
        <v>-0.18320945457093271</v>
      </c>
      <c r="AB378" s="20">
        <f t="shared" si="33"/>
        <v>-0.44009647809306257</v>
      </c>
      <c r="AC378" s="20">
        <f t="shared" si="34"/>
        <v>-0.18447159757433837</v>
      </c>
      <c r="AD378" s="20"/>
    </row>
    <row r="379" spans="1:30" x14ac:dyDescent="0.45">
      <c r="A379" s="8" t="s">
        <v>90</v>
      </c>
      <c r="B379" s="8" t="s">
        <v>590</v>
      </c>
      <c r="C379" s="8">
        <v>65.099999999999994</v>
      </c>
      <c r="D379" s="8" t="s">
        <v>1009</v>
      </c>
      <c r="E379" s="8" t="s">
        <v>1014</v>
      </c>
      <c r="F379" s="8" t="s">
        <v>1019</v>
      </c>
      <c r="G379" s="8" t="s">
        <v>1021</v>
      </c>
      <c r="H379" s="8">
        <v>102761.1</v>
      </c>
      <c r="I379" s="8">
        <v>712</v>
      </c>
      <c r="J379" s="8">
        <v>0</v>
      </c>
      <c r="K379" s="8">
        <v>0</v>
      </c>
      <c r="L379" s="8">
        <v>2874.01</v>
      </c>
      <c r="M379" s="8">
        <v>18581.919999999998</v>
      </c>
      <c r="N379" s="8">
        <v>85238.43</v>
      </c>
      <c r="O379" s="8" t="str">
        <f t="shared" si="35"/>
        <v>Not Fraud</v>
      </c>
      <c r="P379" s="8">
        <v>0</v>
      </c>
      <c r="Q379" s="8" t="s">
        <v>1024</v>
      </c>
      <c r="R379" s="8" t="s">
        <v>1030</v>
      </c>
      <c r="S379" s="8">
        <v>907</v>
      </c>
      <c r="T379" s="8">
        <v>65</v>
      </c>
      <c r="U379" s="8">
        <v>8825.8799999999992</v>
      </c>
      <c r="V379" s="8">
        <v>2.7</v>
      </c>
      <c r="W379" s="8">
        <v>3.8</v>
      </c>
      <c r="X379" s="8">
        <v>0</v>
      </c>
      <c r="Y379" s="20" t="str">
        <f t="shared" si="30"/>
        <v>Normal</v>
      </c>
      <c r="Z379" s="20">
        <f t="shared" si="31"/>
        <v>0.41499009716385465</v>
      </c>
      <c r="AA379" s="20">
        <f t="shared" si="32"/>
        <v>-6.5253466047296538E-2</v>
      </c>
      <c r="AB379" s="20">
        <f t="shared" si="33"/>
        <v>1.2980467730592451</v>
      </c>
      <c r="AC379" s="20">
        <f t="shared" si="34"/>
        <v>0.51424914056126136</v>
      </c>
      <c r="AD379" s="20"/>
    </row>
    <row r="380" spans="1:30" x14ac:dyDescent="0.45">
      <c r="A380" s="8" t="s">
        <v>232</v>
      </c>
      <c r="B380" s="8" t="s">
        <v>730</v>
      </c>
      <c r="C380" s="8">
        <v>90</v>
      </c>
      <c r="D380" s="8" t="s">
        <v>1010</v>
      </c>
      <c r="E380" s="8" t="s">
        <v>1011</v>
      </c>
      <c r="F380" s="8" t="s">
        <v>1019</v>
      </c>
      <c r="G380" s="8" t="s">
        <v>1023</v>
      </c>
      <c r="H380" s="8">
        <v>68093.679999999993</v>
      </c>
      <c r="I380" s="8">
        <v>684</v>
      </c>
      <c r="J380" s="8">
        <v>0</v>
      </c>
      <c r="K380" s="8">
        <v>1</v>
      </c>
      <c r="L380" s="8">
        <v>2897.61</v>
      </c>
      <c r="M380" s="8">
        <v>2858.53</v>
      </c>
      <c r="N380" s="8">
        <v>37223.339999999997</v>
      </c>
      <c r="O380" s="8" t="str">
        <f t="shared" si="35"/>
        <v>Not Fraud</v>
      </c>
      <c r="P380" s="8">
        <v>0</v>
      </c>
      <c r="Q380" s="8" t="s">
        <v>1024</v>
      </c>
      <c r="R380" s="8" t="s">
        <v>1029</v>
      </c>
      <c r="S380" s="8">
        <v>1851</v>
      </c>
      <c r="T380" s="8">
        <v>106</v>
      </c>
      <c r="U380" s="8">
        <v>6622.17</v>
      </c>
      <c r="V380" s="8">
        <v>2.6</v>
      </c>
      <c r="W380" s="8">
        <v>7</v>
      </c>
      <c r="X380" s="8">
        <v>0</v>
      </c>
      <c r="Y380" s="20" t="str">
        <f t="shared" si="30"/>
        <v>Normal</v>
      </c>
      <c r="Z380" s="20">
        <f t="shared" si="31"/>
        <v>0.42625209326756053</v>
      </c>
      <c r="AA380" s="20">
        <f t="shared" si="32"/>
        <v>-0.84993609306495055</v>
      </c>
      <c r="AB380" s="20">
        <f t="shared" si="33"/>
        <v>-1.1926353661656639</v>
      </c>
      <c r="AC380" s="20">
        <f t="shared" si="34"/>
        <v>-0.94079400352796561</v>
      </c>
      <c r="AD380" s="20"/>
    </row>
    <row r="381" spans="1:30" x14ac:dyDescent="0.45">
      <c r="A381" s="8" t="s">
        <v>193</v>
      </c>
      <c r="B381" s="8" t="s">
        <v>691</v>
      </c>
      <c r="C381" s="8">
        <v>36.700000000000003</v>
      </c>
      <c r="D381" s="8" t="s">
        <v>1009</v>
      </c>
      <c r="E381" s="8" t="s">
        <v>1013</v>
      </c>
      <c r="F381" s="8" t="s">
        <v>1016</v>
      </c>
      <c r="G381" s="8" t="s">
        <v>1023</v>
      </c>
      <c r="H381" s="8">
        <v>50058.19</v>
      </c>
      <c r="I381" s="8">
        <v>789</v>
      </c>
      <c r="J381" s="8">
        <v>0</v>
      </c>
      <c r="K381" s="8">
        <v>1</v>
      </c>
      <c r="L381" s="8">
        <v>2937.02</v>
      </c>
      <c r="M381" s="8">
        <v>10750.87</v>
      </c>
      <c r="N381" s="8">
        <v>33082.58</v>
      </c>
      <c r="O381" s="8" t="str">
        <f t="shared" si="35"/>
        <v>Not Fraud</v>
      </c>
      <c r="P381" s="8">
        <v>0</v>
      </c>
      <c r="Q381" s="8" t="s">
        <v>1026</v>
      </c>
      <c r="R381" s="8" t="s">
        <v>1029</v>
      </c>
      <c r="S381" s="8">
        <v>3715</v>
      </c>
      <c r="T381" s="8">
        <v>237</v>
      </c>
      <c r="U381" s="8">
        <v>1477.47</v>
      </c>
      <c r="V381" s="8">
        <v>3.7</v>
      </c>
      <c r="W381" s="8">
        <v>1</v>
      </c>
      <c r="X381" s="8">
        <v>0</v>
      </c>
      <c r="Y381" s="20" t="str">
        <f t="shared" si="30"/>
        <v>Normal</v>
      </c>
      <c r="Z381" s="20">
        <f t="shared" si="31"/>
        <v>0.44505867235429991</v>
      </c>
      <c r="AA381" s="20">
        <f t="shared" si="32"/>
        <v>-0.45606542748224138</v>
      </c>
      <c r="AB381" s="20">
        <f t="shared" si="33"/>
        <v>-1.4074286108480527</v>
      </c>
      <c r="AC381" s="20">
        <f t="shared" si="34"/>
        <v>-1.6977703252383725</v>
      </c>
      <c r="AD381" s="20"/>
    </row>
    <row r="382" spans="1:30" x14ac:dyDescent="0.45">
      <c r="A382" s="8" t="s">
        <v>198</v>
      </c>
      <c r="B382" s="8" t="s">
        <v>696</v>
      </c>
      <c r="C382" s="8">
        <v>62.4</v>
      </c>
      <c r="D382" s="8" t="s">
        <v>1010</v>
      </c>
      <c r="E382" s="8" t="s">
        <v>1015</v>
      </c>
      <c r="F382" s="8" t="s">
        <v>1016</v>
      </c>
      <c r="G382" s="8" t="s">
        <v>1022</v>
      </c>
      <c r="H382" s="8">
        <v>107735.85</v>
      </c>
      <c r="I382" s="8">
        <v>618</v>
      </c>
      <c r="J382" s="8">
        <v>1</v>
      </c>
      <c r="K382" s="8">
        <v>0</v>
      </c>
      <c r="L382" s="8">
        <v>2955.38</v>
      </c>
      <c r="M382" s="8">
        <v>2905.54</v>
      </c>
      <c r="N382" s="8">
        <v>63871.8</v>
      </c>
      <c r="O382" s="8" t="str">
        <f t="shared" si="35"/>
        <v>Not Fraud</v>
      </c>
      <c r="P382" s="8">
        <v>0</v>
      </c>
      <c r="Q382" s="8" t="s">
        <v>1027</v>
      </c>
      <c r="R382" s="8" t="s">
        <v>1029</v>
      </c>
      <c r="S382" s="8">
        <v>3178</v>
      </c>
      <c r="T382" s="8">
        <v>135</v>
      </c>
      <c r="U382" s="8">
        <v>8008.63</v>
      </c>
      <c r="V382" s="8">
        <v>7.2</v>
      </c>
      <c r="W382" s="8">
        <v>2.5</v>
      </c>
      <c r="X382" s="8">
        <v>0</v>
      </c>
      <c r="Y382" s="20" t="str">
        <f t="shared" si="30"/>
        <v>Normal</v>
      </c>
      <c r="Z382" s="20">
        <f t="shared" si="31"/>
        <v>0.45382012356040341</v>
      </c>
      <c r="AA382" s="20">
        <f t="shared" si="32"/>
        <v>-0.84759003853751713</v>
      </c>
      <c r="AB382" s="20">
        <f t="shared" si="33"/>
        <v>0.1896976328946198</v>
      </c>
      <c r="AC382" s="20">
        <f t="shared" si="34"/>
        <v>0.7230467921043493</v>
      </c>
      <c r="AD382" s="20"/>
    </row>
    <row r="383" spans="1:30" x14ac:dyDescent="0.45">
      <c r="A383" s="8" t="s">
        <v>449</v>
      </c>
      <c r="B383" s="8" t="s">
        <v>939</v>
      </c>
      <c r="C383" s="8">
        <v>35.5</v>
      </c>
      <c r="D383" s="8" t="s">
        <v>1009</v>
      </c>
      <c r="E383" s="8" t="s">
        <v>1015</v>
      </c>
      <c r="F383" s="8" t="s">
        <v>1016</v>
      </c>
      <c r="G383" s="8" t="s">
        <v>1023</v>
      </c>
      <c r="H383" s="8">
        <v>81835.16</v>
      </c>
      <c r="I383" s="8">
        <v>555</v>
      </c>
      <c r="J383" s="8">
        <v>0</v>
      </c>
      <c r="K383" s="8">
        <v>1</v>
      </c>
      <c r="L383" s="8">
        <v>2964.2</v>
      </c>
      <c r="M383" s="8">
        <v>14384.68</v>
      </c>
      <c r="N383" s="8">
        <v>53586.65</v>
      </c>
      <c r="O383" s="8" t="str">
        <f t="shared" si="35"/>
        <v>Fraud</v>
      </c>
      <c r="P383" s="8">
        <v>1</v>
      </c>
      <c r="Q383" s="8" t="s">
        <v>1024</v>
      </c>
      <c r="R383" s="8" t="s">
        <v>1029</v>
      </c>
      <c r="S383" s="8">
        <v>2880</v>
      </c>
      <c r="T383" s="8">
        <v>289</v>
      </c>
      <c r="U383" s="8">
        <v>7061.77</v>
      </c>
      <c r="V383" s="8">
        <v>4.2</v>
      </c>
      <c r="W383" s="8">
        <v>4.0999999999999996</v>
      </c>
      <c r="X383" s="8">
        <v>2404.9</v>
      </c>
      <c r="Y383" s="20" t="str">
        <f t="shared" si="30"/>
        <v>Normal</v>
      </c>
      <c r="Z383" s="20">
        <f t="shared" si="31"/>
        <v>0.458029056002551</v>
      </c>
      <c r="AA383" s="20">
        <f t="shared" si="32"/>
        <v>-0.27471855655408778</v>
      </c>
      <c r="AB383" s="20">
        <f t="shared" si="33"/>
        <v>-0.34382296249006195</v>
      </c>
      <c r="AC383" s="20">
        <f t="shared" si="34"/>
        <v>-0.36404366376690933</v>
      </c>
      <c r="AD383" s="20"/>
    </row>
    <row r="384" spans="1:30" x14ac:dyDescent="0.45">
      <c r="A384" s="8" t="s">
        <v>326</v>
      </c>
      <c r="B384" s="8" t="s">
        <v>822</v>
      </c>
      <c r="C384" s="8">
        <v>59.2</v>
      </c>
      <c r="D384" s="8" t="s">
        <v>1009</v>
      </c>
      <c r="E384" s="8" t="s">
        <v>1013</v>
      </c>
      <c r="F384" s="8" t="s">
        <v>1016</v>
      </c>
      <c r="G384" s="8" t="s">
        <v>1020</v>
      </c>
      <c r="H384" s="8">
        <v>61633.37</v>
      </c>
      <c r="I384" s="8">
        <v>721</v>
      </c>
      <c r="J384" s="8">
        <v>0</v>
      </c>
      <c r="K384" s="8">
        <v>1</v>
      </c>
      <c r="L384" s="8">
        <v>2991.01</v>
      </c>
      <c r="M384" s="8">
        <v>4634.05</v>
      </c>
      <c r="N384" s="8">
        <v>54666.95</v>
      </c>
      <c r="O384" s="8" t="str">
        <f t="shared" si="35"/>
        <v>Fraud</v>
      </c>
      <c r="P384" s="8">
        <v>1</v>
      </c>
      <c r="Q384" s="8" t="s">
        <v>1025</v>
      </c>
      <c r="R384" s="8" t="s">
        <v>1029</v>
      </c>
      <c r="S384" s="8">
        <v>2683</v>
      </c>
      <c r="T384" s="8">
        <v>223</v>
      </c>
      <c r="U384" s="8">
        <v>959.45</v>
      </c>
      <c r="V384" s="8">
        <v>6</v>
      </c>
      <c r="W384" s="8">
        <v>7.9</v>
      </c>
      <c r="X384" s="8">
        <v>2464.1</v>
      </c>
      <c r="Y384" s="20" t="str">
        <f t="shared" si="30"/>
        <v>Normal</v>
      </c>
      <c r="Z384" s="20">
        <f t="shared" si="31"/>
        <v>0.47082287445765103</v>
      </c>
      <c r="AA384" s="20">
        <f t="shared" si="32"/>
        <v>-0.76132799405307172</v>
      </c>
      <c r="AB384" s="20">
        <f t="shared" si="33"/>
        <v>-0.28778466463402003</v>
      </c>
      <c r="AC384" s="20">
        <f t="shared" si="34"/>
        <v>-1.2119428162804307</v>
      </c>
      <c r="AD384" s="20"/>
    </row>
    <row r="385" spans="1:30" x14ac:dyDescent="0.45">
      <c r="A385" s="8" t="s">
        <v>161</v>
      </c>
      <c r="B385" s="8" t="s">
        <v>659</v>
      </c>
      <c r="C385" s="8">
        <v>62.2</v>
      </c>
      <c r="D385" s="8" t="s">
        <v>1009</v>
      </c>
      <c r="E385" s="8" t="s">
        <v>1012</v>
      </c>
      <c r="F385" s="8" t="s">
        <v>1016</v>
      </c>
      <c r="G385" s="8" t="s">
        <v>1020</v>
      </c>
      <c r="H385" s="8">
        <v>122725.4</v>
      </c>
      <c r="I385" s="8">
        <v>617</v>
      </c>
      <c r="J385" s="8">
        <v>0</v>
      </c>
      <c r="K385" s="8">
        <v>1</v>
      </c>
      <c r="L385" s="8">
        <v>2999.57</v>
      </c>
      <c r="M385" s="8">
        <v>5407.95</v>
      </c>
      <c r="N385" s="8">
        <v>87213.17</v>
      </c>
      <c r="O385" s="8" t="str">
        <f t="shared" si="35"/>
        <v>Fraud</v>
      </c>
      <c r="P385" s="8">
        <v>1</v>
      </c>
      <c r="Q385" s="8" t="s">
        <v>1024</v>
      </c>
      <c r="R385" s="8" t="s">
        <v>1029</v>
      </c>
      <c r="S385" s="8">
        <v>252</v>
      </c>
      <c r="T385" s="8">
        <v>170</v>
      </c>
      <c r="U385" s="8">
        <v>8668.25</v>
      </c>
      <c r="V385" s="8">
        <v>5.0999999999999996</v>
      </c>
      <c r="W385" s="8">
        <v>7.6</v>
      </c>
      <c r="X385" s="8">
        <v>2613.98</v>
      </c>
      <c r="Y385" s="20" t="str">
        <f t="shared" si="30"/>
        <v>Normal</v>
      </c>
      <c r="Z385" s="20">
        <f t="shared" si="31"/>
        <v>0.4749077340613681</v>
      </c>
      <c r="AA385" s="20">
        <f t="shared" si="32"/>
        <v>-0.72270617744425114</v>
      </c>
      <c r="AB385" s="20">
        <f t="shared" si="33"/>
        <v>1.4004822708915516</v>
      </c>
      <c r="AC385" s="20">
        <f t="shared" si="34"/>
        <v>1.3521804847899499</v>
      </c>
      <c r="AD385" s="20"/>
    </row>
    <row r="386" spans="1:30" x14ac:dyDescent="0.45">
      <c r="A386" s="8" t="s">
        <v>142</v>
      </c>
      <c r="B386" s="8" t="s">
        <v>640</v>
      </c>
      <c r="C386" s="8">
        <v>61.3</v>
      </c>
      <c r="D386" s="8" t="s">
        <v>1009</v>
      </c>
      <c r="E386" s="8" t="s">
        <v>1015</v>
      </c>
      <c r="F386" s="8" t="s">
        <v>1016</v>
      </c>
      <c r="G386" s="8" t="s">
        <v>1020</v>
      </c>
      <c r="H386" s="8">
        <v>74657.22</v>
      </c>
      <c r="I386" s="8">
        <v>801</v>
      </c>
      <c r="J386" s="8">
        <v>0</v>
      </c>
      <c r="K386" s="8">
        <v>0</v>
      </c>
      <c r="L386" s="8">
        <v>3010.02</v>
      </c>
      <c r="M386" s="8">
        <v>3076</v>
      </c>
      <c r="N386" s="8">
        <v>53840.77</v>
      </c>
      <c r="O386" s="8" t="str">
        <f t="shared" si="35"/>
        <v>Not Fraud</v>
      </c>
      <c r="P386" s="8">
        <v>0</v>
      </c>
      <c r="Q386" s="8" t="s">
        <v>1026</v>
      </c>
      <c r="R386" s="8" t="s">
        <v>1026</v>
      </c>
      <c r="S386" s="8">
        <v>3651</v>
      </c>
      <c r="T386" s="8">
        <v>281</v>
      </c>
      <c r="U386" s="8">
        <v>3780.1</v>
      </c>
      <c r="V386" s="8">
        <v>4.2</v>
      </c>
      <c r="W386" s="8">
        <v>5.8</v>
      </c>
      <c r="X386" s="8">
        <v>0</v>
      </c>
      <c r="Y386" s="20" t="str">
        <f t="shared" ref="Y386:Y449" si="36">IF(OR(L386&lt;$AF$10,L386&gt;$AF$11),"Outlier","Normal")</f>
        <v>Normal</v>
      </c>
      <c r="Z386" s="20">
        <f t="shared" ref="Z386:Z449" si="37">(L386-$AK$9)/$AM$9</f>
        <v>0.479894507759831</v>
      </c>
      <c r="AA386" s="20">
        <f t="shared" ref="AA386:AA449" si="38">(M386-$AK$6)/$AM$6</f>
        <v>-0.83908315798558597</v>
      </c>
      <c r="AB386" s="20">
        <f t="shared" ref="AB386:AB449" si="39">(N386-$AK$3)/$AM$3</f>
        <v>-0.33064102020442171</v>
      </c>
      <c r="AC386" s="20">
        <f t="shared" ref="AC386:AC449" si="40">(H386-$AK$4)/$AM$4</f>
        <v>-0.66531247424325357</v>
      </c>
      <c r="AD386" s="20"/>
    </row>
    <row r="387" spans="1:30" x14ac:dyDescent="0.45">
      <c r="A387" s="8" t="s">
        <v>463</v>
      </c>
      <c r="B387" s="8" t="s">
        <v>952</v>
      </c>
      <c r="C387" s="8">
        <v>55.8</v>
      </c>
      <c r="D387" s="8" t="s">
        <v>1009</v>
      </c>
      <c r="E387" s="8" t="s">
        <v>1012</v>
      </c>
      <c r="F387" s="8" t="s">
        <v>1016</v>
      </c>
      <c r="G387" s="8" t="s">
        <v>1023</v>
      </c>
      <c r="H387" s="8">
        <v>89102.01</v>
      </c>
      <c r="I387" s="8">
        <v>738</v>
      </c>
      <c r="J387" s="8">
        <v>0</v>
      </c>
      <c r="K387" s="8">
        <v>0</v>
      </c>
      <c r="L387" s="8">
        <v>3034.47</v>
      </c>
      <c r="M387" s="8">
        <v>27118.58</v>
      </c>
      <c r="N387" s="8">
        <v>59888.08</v>
      </c>
      <c r="O387" s="8" t="str">
        <f t="shared" ref="O387:O450" si="41">IF(P387=1, "Fraud", "Not Fraud")</f>
        <v>Fraud</v>
      </c>
      <c r="P387" s="8">
        <v>1</v>
      </c>
      <c r="Q387" s="8" t="s">
        <v>1027</v>
      </c>
      <c r="R387" s="8" t="s">
        <v>1028</v>
      </c>
      <c r="S387" s="8">
        <v>3058</v>
      </c>
      <c r="T387" s="8">
        <v>80</v>
      </c>
      <c r="U387" s="8">
        <v>108.37</v>
      </c>
      <c r="V387" s="8">
        <v>5.3</v>
      </c>
      <c r="W387" s="8">
        <v>2.6</v>
      </c>
      <c r="X387" s="8">
        <v>1706.14</v>
      </c>
      <c r="Y387" s="20" t="str">
        <f t="shared" si="36"/>
        <v>Normal</v>
      </c>
      <c r="Z387" s="20">
        <f t="shared" si="37"/>
        <v>0.49156212660456017</v>
      </c>
      <c r="AA387" s="20">
        <f t="shared" si="38"/>
        <v>0.36077226979952332</v>
      </c>
      <c r="AB387" s="20">
        <f t="shared" si="39"/>
        <v>-1.6949490992330288E-2</v>
      </c>
      <c r="AC387" s="20">
        <f t="shared" si="40"/>
        <v>-5.9043168442342878E-2</v>
      </c>
      <c r="AD387" s="20"/>
    </row>
    <row r="388" spans="1:30" x14ac:dyDescent="0.45">
      <c r="A388" s="8" t="s">
        <v>427</v>
      </c>
      <c r="B388" s="8" t="s">
        <v>917</v>
      </c>
      <c r="C388" s="8">
        <v>43.2</v>
      </c>
      <c r="D388" s="8" t="s">
        <v>1009</v>
      </c>
      <c r="E388" s="8" t="s">
        <v>1013</v>
      </c>
      <c r="F388" s="8" t="s">
        <v>1018</v>
      </c>
      <c r="G388" s="8" t="s">
        <v>1022</v>
      </c>
      <c r="H388" s="8">
        <v>71207.98</v>
      </c>
      <c r="I388" s="8">
        <v>600</v>
      </c>
      <c r="J388" s="8">
        <v>1</v>
      </c>
      <c r="K388" s="8">
        <v>1</v>
      </c>
      <c r="L388" s="8">
        <v>3053.37</v>
      </c>
      <c r="M388" s="8">
        <v>8434.68</v>
      </c>
      <c r="N388" s="8">
        <v>48049.8</v>
      </c>
      <c r="O388" s="8" t="str">
        <f t="shared" si="41"/>
        <v>Not Fraud</v>
      </c>
      <c r="P388" s="8">
        <v>0</v>
      </c>
      <c r="Q388" s="8" t="s">
        <v>1026</v>
      </c>
      <c r="R388" s="8" t="s">
        <v>1030</v>
      </c>
      <c r="S388" s="8">
        <v>476</v>
      </c>
      <c r="T388" s="8">
        <v>258</v>
      </c>
      <c r="U388" s="8">
        <v>604.21</v>
      </c>
      <c r="V388" s="8">
        <v>3.4</v>
      </c>
      <c r="W388" s="8">
        <v>4.4000000000000004</v>
      </c>
      <c r="X388" s="8">
        <v>0</v>
      </c>
      <c r="Y388" s="20" t="str">
        <f t="shared" si="36"/>
        <v>Normal</v>
      </c>
      <c r="Z388" s="20">
        <f t="shared" si="37"/>
        <v>0.50058126755201959</v>
      </c>
      <c r="AA388" s="20">
        <f t="shared" si="38"/>
        <v>-0.57165589835856134</v>
      </c>
      <c r="AB388" s="20">
        <f t="shared" si="39"/>
        <v>-0.6310354492846808</v>
      </c>
      <c r="AC388" s="20">
        <f t="shared" si="40"/>
        <v>-0.81008220369869999</v>
      </c>
      <c r="AD388" s="20"/>
    </row>
    <row r="389" spans="1:30" x14ac:dyDescent="0.45">
      <c r="A389" s="8" t="s">
        <v>379</v>
      </c>
      <c r="B389" s="8" t="s">
        <v>874</v>
      </c>
      <c r="C389" s="8">
        <v>49.7</v>
      </c>
      <c r="D389" s="8" t="s">
        <v>1009</v>
      </c>
      <c r="E389" s="8" t="s">
        <v>1012</v>
      </c>
      <c r="F389" s="8" t="s">
        <v>1016</v>
      </c>
      <c r="G389" s="8" t="s">
        <v>1020</v>
      </c>
      <c r="H389" s="8">
        <v>98340.87</v>
      </c>
      <c r="I389" s="8">
        <v>651</v>
      </c>
      <c r="J389" s="8">
        <v>0</v>
      </c>
      <c r="K389" s="8">
        <v>1</v>
      </c>
      <c r="L389" s="8">
        <v>3057.19</v>
      </c>
      <c r="M389" s="8">
        <v>24418.37</v>
      </c>
      <c r="N389" s="8">
        <v>62117.89</v>
      </c>
      <c r="O389" s="8" t="str">
        <f t="shared" si="41"/>
        <v>Fraud</v>
      </c>
      <c r="P389" s="8">
        <v>1</v>
      </c>
      <c r="Q389" s="8" t="s">
        <v>1026</v>
      </c>
      <c r="R389" s="8" t="s">
        <v>1028</v>
      </c>
      <c r="S389" s="8">
        <v>3950</v>
      </c>
      <c r="T389" s="8">
        <v>132</v>
      </c>
      <c r="U389" s="8">
        <v>7540.27</v>
      </c>
      <c r="V389" s="8">
        <v>3.6</v>
      </c>
      <c r="W389" s="8">
        <v>1.7</v>
      </c>
      <c r="X389" s="8">
        <v>2618.8200000000002</v>
      </c>
      <c r="Y389" s="20" t="str">
        <f t="shared" si="36"/>
        <v>Normal</v>
      </c>
      <c r="Z389" s="20">
        <f t="shared" si="37"/>
        <v>0.5024041838705009</v>
      </c>
      <c r="AA389" s="20">
        <f t="shared" si="38"/>
        <v>0.22601711354509335</v>
      </c>
      <c r="AB389" s="20">
        <f t="shared" si="39"/>
        <v>9.8717228384121752E-2</v>
      </c>
      <c r="AC389" s="20">
        <f t="shared" si="40"/>
        <v>0.32872551760929269</v>
      </c>
      <c r="AD389" s="20"/>
    </row>
    <row r="390" spans="1:30" x14ac:dyDescent="0.45">
      <c r="A390" s="8" t="s">
        <v>360</v>
      </c>
      <c r="B390" s="8" t="s">
        <v>855</v>
      </c>
      <c r="C390" s="8">
        <v>45.2</v>
      </c>
      <c r="D390" s="8" t="s">
        <v>1010</v>
      </c>
      <c r="E390" s="8" t="s">
        <v>1013</v>
      </c>
      <c r="F390" s="8" t="s">
        <v>1016</v>
      </c>
      <c r="G390" s="8" t="s">
        <v>1022</v>
      </c>
      <c r="H390" s="8">
        <v>69462.960000000006</v>
      </c>
      <c r="I390" s="8">
        <v>711</v>
      </c>
      <c r="J390" s="8">
        <v>1</v>
      </c>
      <c r="K390" s="8">
        <v>1</v>
      </c>
      <c r="L390" s="8">
        <v>3090.33</v>
      </c>
      <c r="M390" s="8">
        <v>22948.1</v>
      </c>
      <c r="N390" s="8">
        <v>47049.16</v>
      </c>
      <c r="O390" s="8" t="str">
        <f t="shared" si="41"/>
        <v>Fraud</v>
      </c>
      <c r="P390" s="8">
        <v>1</v>
      </c>
      <c r="Q390" s="8" t="s">
        <v>1024</v>
      </c>
      <c r="R390" s="8" t="s">
        <v>1026</v>
      </c>
      <c r="S390" s="8">
        <v>3500</v>
      </c>
      <c r="T390" s="8">
        <v>187</v>
      </c>
      <c r="U390" s="8">
        <v>9819.23</v>
      </c>
      <c r="V390" s="8">
        <v>3.1</v>
      </c>
      <c r="W390" s="8">
        <v>3</v>
      </c>
      <c r="X390" s="8">
        <v>2968.76</v>
      </c>
      <c r="Y390" s="20" t="str">
        <f t="shared" si="36"/>
        <v>Normal</v>
      </c>
      <c r="Z390" s="20">
        <f t="shared" si="37"/>
        <v>0.51821869873816251</v>
      </c>
      <c r="AA390" s="20">
        <f t="shared" si="38"/>
        <v>0.15264264874931799</v>
      </c>
      <c r="AB390" s="20">
        <f t="shared" si="39"/>
        <v>-0.68294155163279702</v>
      </c>
      <c r="AC390" s="20">
        <f t="shared" si="40"/>
        <v>-0.88332328674723848</v>
      </c>
      <c r="AD390" s="20"/>
    </row>
    <row r="391" spans="1:30" x14ac:dyDescent="0.45">
      <c r="A391" s="8" t="s">
        <v>421</v>
      </c>
      <c r="B391" s="8" t="s">
        <v>911</v>
      </c>
      <c r="C391" s="8">
        <v>48.3</v>
      </c>
      <c r="D391" s="8" t="s">
        <v>1009</v>
      </c>
      <c r="E391" s="8" t="s">
        <v>1014</v>
      </c>
      <c r="F391" s="8" t="s">
        <v>1016</v>
      </c>
      <c r="G391" s="8" t="s">
        <v>1021</v>
      </c>
      <c r="H391" s="8">
        <v>95834.18</v>
      </c>
      <c r="I391" s="8">
        <v>478</v>
      </c>
      <c r="J391" s="8">
        <v>1</v>
      </c>
      <c r="K391" s="8">
        <v>1</v>
      </c>
      <c r="L391" s="8">
        <v>3102.67</v>
      </c>
      <c r="M391" s="8">
        <v>2999.12</v>
      </c>
      <c r="N391" s="8">
        <v>83882.19</v>
      </c>
      <c r="O391" s="8" t="str">
        <f t="shared" si="41"/>
        <v>Not Fraud</v>
      </c>
      <c r="P391" s="8">
        <v>0</v>
      </c>
      <c r="Q391" s="8" t="s">
        <v>1026</v>
      </c>
      <c r="R391" s="8" t="s">
        <v>1029</v>
      </c>
      <c r="S391" s="8">
        <v>4226</v>
      </c>
      <c r="T391" s="8">
        <v>85</v>
      </c>
      <c r="U391" s="8">
        <v>4549.68</v>
      </c>
      <c r="V391" s="8">
        <v>3.8</v>
      </c>
      <c r="W391" s="8">
        <v>2.8</v>
      </c>
      <c r="X391" s="8">
        <v>0</v>
      </c>
      <c r="Y391" s="20" t="str">
        <f t="shared" si="36"/>
        <v>Normal</v>
      </c>
      <c r="Z391" s="20">
        <f t="shared" si="37"/>
        <v>0.52410738653137157</v>
      </c>
      <c r="AA391" s="20">
        <f t="shared" si="38"/>
        <v>-0.84291988787431338</v>
      </c>
      <c r="AB391" s="20">
        <f t="shared" si="39"/>
        <v>1.2276946661590524</v>
      </c>
      <c r="AC391" s="20">
        <f t="shared" si="40"/>
        <v>0.22351601257958389</v>
      </c>
      <c r="AD391" s="20"/>
    </row>
    <row r="392" spans="1:30" x14ac:dyDescent="0.45">
      <c r="A392" s="8" t="s">
        <v>267</v>
      </c>
      <c r="B392" s="8" t="s">
        <v>640</v>
      </c>
      <c r="C392" s="8">
        <v>32</v>
      </c>
      <c r="D392" s="8" t="s">
        <v>1010</v>
      </c>
      <c r="E392" s="8" t="s">
        <v>1012</v>
      </c>
      <c r="F392" s="8" t="s">
        <v>1016</v>
      </c>
      <c r="G392" s="8" t="s">
        <v>1022</v>
      </c>
      <c r="H392" s="8">
        <v>97661.97</v>
      </c>
      <c r="I392" s="8">
        <v>656</v>
      </c>
      <c r="J392" s="8">
        <v>0</v>
      </c>
      <c r="K392" s="8">
        <v>1</v>
      </c>
      <c r="L392" s="8">
        <v>3110.98</v>
      </c>
      <c r="M392" s="8">
        <v>5670</v>
      </c>
      <c r="N392" s="8">
        <v>74307.63</v>
      </c>
      <c r="O392" s="8" t="str">
        <f t="shared" si="41"/>
        <v>Not Fraud</v>
      </c>
      <c r="P392" s="8">
        <v>0</v>
      </c>
      <c r="Q392" s="8" t="s">
        <v>1025</v>
      </c>
      <c r="R392" s="8" t="s">
        <v>1029</v>
      </c>
      <c r="S392" s="8">
        <v>4106</v>
      </c>
      <c r="T392" s="8">
        <v>268</v>
      </c>
      <c r="U392" s="8">
        <v>6001.05</v>
      </c>
      <c r="V392" s="8">
        <v>4.9000000000000004</v>
      </c>
      <c r="W392" s="8">
        <v>3.5</v>
      </c>
      <c r="X392" s="8">
        <v>0</v>
      </c>
      <c r="Y392" s="20" t="str">
        <f t="shared" si="36"/>
        <v>Normal</v>
      </c>
      <c r="Z392" s="20">
        <f t="shared" si="37"/>
        <v>0.52807294532890525</v>
      </c>
      <c r="AA392" s="20">
        <f t="shared" si="38"/>
        <v>-0.70962845804595498</v>
      </c>
      <c r="AB392" s="20">
        <f t="shared" si="39"/>
        <v>0.73103443740727381</v>
      </c>
      <c r="AC392" s="20">
        <f t="shared" si="40"/>
        <v>0.30023107555037487</v>
      </c>
      <c r="AD392" s="20"/>
    </row>
    <row r="393" spans="1:30" x14ac:dyDescent="0.45">
      <c r="A393" s="8" t="s">
        <v>187</v>
      </c>
      <c r="B393" s="8" t="s">
        <v>685</v>
      </c>
      <c r="C393" s="8">
        <v>64.5</v>
      </c>
      <c r="D393" s="8" t="s">
        <v>1010</v>
      </c>
      <c r="E393" s="8" t="s">
        <v>1011</v>
      </c>
      <c r="F393" s="8" t="s">
        <v>1016</v>
      </c>
      <c r="G393" s="8" t="s">
        <v>1022</v>
      </c>
      <c r="H393" s="8">
        <v>98762.86</v>
      </c>
      <c r="I393" s="8">
        <v>684</v>
      </c>
      <c r="J393" s="8">
        <v>0</v>
      </c>
      <c r="K393" s="8">
        <v>0</v>
      </c>
      <c r="L393" s="8">
        <v>3122.09</v>
      </c>
      <c r="M393" s="8">
        <v>35748.79</v>
      </c>
      <c r="N393" s="8">
        <v>53442.11</v>
      </c>
      <c r="O393" s="8" t="str">
        <f t="shared" si="41"/>
        <v>Not Fraud</v>
      </c>
      <c r="P393" s="8">
        <v>0</v>
      </c>
      <c r="Q393" s="8" t="s">
        <v>1026</v>
      </c>
      <c r="R393" s="8" t="s">
        <v>1026</v>
      </c>
      <c r="S393" s="8">
        <v>4330</v>
      </c>
      <c r="T393" s="8">
        <v>186</v>
      </c>
      <c r="U393" s="8">
        <v>3925.76</v>
      </c>
      <c r="V393" s="8">
        <v>8.3000000000000007</v>
      </c>
      <c r="W393" s="8">
        <v>0.5</v>
      </c>
      <c r="X393" s="8">
        <v>0</v>
      </c>
      <c r="Y393" s="20" t="str">
        <f t="shared" si="36"/>
        <v>Normal</v>
      </c>
      <c r="Z393" s="20">
        <f t="shared" si="37"/>
        <v>0.53337467315569231</v>
      </c>
      <c r="AA393" s="20">
        <f t="shared" si="38"/>
        <v>0.79146665914647885</v>
      </c>
      <c r="AB393" s="20">
        <f t="shared" si="39"/>
        <v>-0.35132067198937916</v>
      </c>
      <c r="AC393" s="20">
        <f t="shared" si="40"/>
        <v>0.34643706511915123</v>
      </c>
      <c r="AD393" s="20"/>
    </row>
    <row r="394" spans="1:30" x14ac:dyDescent="0.45">
      <c r="A394" s="8" t="s">
        <v>205</v>
      </c>
      <c r="B394" s="8" t="s">
        <v>703</v>
      </c>
      <c r="C394" s="8">
        <v>33.9</v>
      </c>
      <c r="D394" s="8" t="s">
        <v>1010</v>
      </c>
      <c r="E394" s="8" t="s">
        <v>1012</v>
      </c>
      <c r="F394" s="8" t="s">
        <v>1016</v>
      </c>
      <c r="G394" s="8" t="s">
        <v>1022</v>
      </c>
      <c r="H394" s="8">
        <v>30062.77</v>
      </c>
      <c r="I394" s="8">
        <v>790</v>
      </c>
      <c r="J394" s="8">
        <v>0</v>
      </c>
      <c r="K394" s="8">
        <v>1</v>
      </c>
      <c r="L394" s="8">
        <v>3133.82</v>
      </c>
      <c r="M394" s="8">
        <v>47512.14</v>
      </c>
      <c r="N394" s="8">
        <v>15000</v>
      </c>
      <c r="O394" s="8" t="str">
        <f t="shared" si="41"/>
        <v>Fraud</v>
      </c>
      <c r="P394" s="8">
        <v>1</v>
      </c>
      <c r="Q394" s="8" t="s">
        <v>1027</v>
      </c>
      <c r="R394" s="8" t="s">
        <v>1028</v>
      </c>
      <c r="S394" s="8">
        <v>1435</v>
      </c>
      <c r="T394" s="8">
        <v>119</v>
      </c>
      <c r="U394" s="8">
        <v>5069.5</v>
      </c>
      <c r="V394" s="8">
        <v>1.4</v>
      </c>
      <c r="W394" s="8">
        <v>5</v>
      </c>
      <c r="X394" s="8">
        <v>2013.25</v>
      </c>
      <c r="Y394" s="20" t="str">
        <f t="shared" si="36"/>
        <v>Normal</v>
      </c>
      <c r="Z394" s="20">
        <f t="shared" si="37"/>
        <v>0.538972266981814</v>
      </c>
      <c r="AA394" s="20">
        <f t="shared" si="38"/>
        <v>1.3785217649810426</v>
      </c>
      <c r="AB394" s="20">
        <f t="shared" si="39"/>
        <v>-2.3454245416503392</v>
      </c>
      <c r="AC394" s="20">
        <f t="shared" si="40"/>
        <v>-2.5370078221211689</v>
      </c>
      <c r="AD394" s="20"/>
    </row>
    <row r="395" spans="1:30" x14ac:dyDescent="0.45">
      <c r="A395" s="8" t="s">
        <v>300</v>
      </c>
      <c r="B395" s="8" t="s">
        <v>796</v>
      </c>
      <c r="C395" s="8">
        <v>41</v>
      </c>
      <c r="D395" s="8" t="s">
        <v>1010</v>
      </c>
      <c r="E395" s="8" t="s">
        <v>1012</v>
      </c>
      <c r="F395" s="8" t="s">
        <v>1018</v>
      </c>
      <c r="G395" s="8" t="s">
        <v>1023</v>
      </c>
      <c r="H395" s="8">
        <v>81504.05</v>
      </c>
      <c r="I395" s="8">
        <v>686</v>
      </c>
      <c r="J395" s="8">
        <v>0</v>
      </c>
      <c r="K395" s="8">
        <v>0</v>
      </c>
      <c r="L395" s="8">
        <v>3159.32</v>
      </c>
      <c r="M395" s="8">
        <v>45535.56</v>
      </c>
      <c r="N395" s="8">
        <v>64930.1</v>
      </c>
      <c r="O395" s="8" t="str">
        <f t="shared" si="41"/>
        <v>Fraud</v>
      </c>
      <c r="P395" s="8">
        <v>1</v>
      </c>
      <c r="Q395" s="8" t="s">
        <v>1026</v>
      </c>
      <c r="R395" s="8" t="s">
        <v>1030</v>
      </c>
      <c r="S395" s="8">
        <v>2840</v>
      </c>
      <c r="T395" s="8">
        <v>74</v>
      </c>
      <c r="U395" s="8">
        <v>7592.37</v>
      </c>
      <c r="V395" s="8">
        <v>3.8</v>
      </c>
      <c r="W395" s="8">
        <v>0.5</v>
      </c>
      <c r="X395" s="8">
        <v>2597.85</v>
      </c>
      <c r="Y395" s="20" t="str">
        <f t="shared" si="36"/>
        <v>Normal</v>
      </c>
      <c r="Z395" s="20">
        <f t="shared" si="37"/>
        <v>0.55114094921251322</v>
      </c>
      <c r="AA395" s="20">
        <f t="shared" si="38"/>
        <v>1.2798796790879523</v>
      </c>
      <c r="AB395" s="20">
        <f t="shared" si="39"/>
        <v>0.24459472686948708</v>
      </c>
      <c r="AC395" s="20">
        <f t="shared" si="40"/>
        <v>-0.37794084260050542</v>
      </c>
      <c r="AD395" s="20"/>
    </row>
    <row r="396" spans="1:30" x14ac:dyDescent="0.45">
      <c r="A396" s="8" t="s">
        <v>30</v>
      </c>
      <c r="B396" s="8" t="s">
        <v>530</v>
      </c>
      <c r="C396" s="8">
        <v>61.5</v>
      </c>
      <c r="D396" s="8" t="s">
        <v>1010</v>
      </c>
      <c r="E396" s="8" t="s">
        <v>1013</v>
      </c>
      <c r="F396" s="8" t="s">
        <v>1018</v>
      </c>
      <c r="G396" s="8" t="s">
        <v>1023</v>
      </c>
      <c r="H396" s="8">
        <v>76185.78</v>
      </c>
      <c r="I396" s="8">
        <v>480</v>
      </c>
      <c r="J396" s="8">
        <v>0</v>
      </c>
      <c r="K396" s="8">
        <v>0</v>
      </c>
      <c r="L396" s="8">
        <v>3170.57</v>
      </c>
      <c r="M396" s="8">
        <v>7028.8</v>
      </c>
      <c r="N396" s="8">
        <v>60128.45</v>
      </c>
      <c r="O396" s="8" t="str">
        <f t="shared" si="41"/>
        <v>Not Fraud</v>
      </c>
      <c r="P396" s="8">
        <v>0</v>
      </c>
      <c r="Q396" s="8" t="s">
        <v>1025</v>
      </c>
      <c r="R396" s="8" t="s">
        <v>1030</v>
      </c>
      <c r="S396" s="8">
        <v>4458</v>
      </c>
      <c r="T396" s="8">
        <v>169</v>
      </c>
      <c r="U396" s="8">
        <v>8864.82</v>
      </c>
      <c r="V396" s="8">
        <v>4.5999999999999996</v>
      </c>
      <c r="W396" s="8">
        <v>5.8</v>
      </c>
      <c r="X396" s="8">
        <v>0</v>
      </c>
      <c r="Y396" s="20" t="str">
        <f t="shared" si="36"/>
        <v>Normal</v>
      </c>
      <c r="Z396" s="20">
        <f t="shared" si="37"/>
        <v>0.55650948549076285</v>
      </c>
      <c r="AA396" s="20">
        <f t="shared" si="38"/>
        <v>-0.64181695215622081</v>
      </c>
      <c r="AB396" s="20">
        <f t="shared" si="39"/>
        <v>-4.4808011324241658E-3</v>
      </c>
      <c r="AC396" s="20">
        <f t="shared" si="40"/>
        <v>-0.60115653912235256</v>
      </c>
      <c r="AD396" s="20"/>
    </row>
    <row r="397" spans="1:30" x14ac:dyDescent="0.45">
      <c r="A397" s="8" t="s">
        <v>69</v>
      </c>
      <c r="B397" s="8" t="s">
        <v>569</v>
      </c>
      <c r="C397" s="8">
        <v>43.1</v>
      </c>
      <c r="D397" s="8" t="s">
        <v>1010</v>
      </c>
      <c r="E397" s="8" t="s">
        <v>1014</v>
      </c>
      <c r="F397" s="8" t="s">
        <v>1016</v>
      </c>
      <c r="G397" s="8" t="s">
        <v>1020</v>
      </c>
      <c r="H397" s="8">
        <v>73878.100000000006</v>
      </c>
      <c r="I397" s="8">
        <v>720</v>
      </c>
      <c r="J397" s="8">
        <v>0</v>
      </c>
      <c r="K397" s="8">
        <v>1</v>
      </c>
      <c r="L397" s="8">
        <v>3183.1</v>
      </c>
      <c r="M397" s="8">
        <v>9591.44</v>
      </c>
      <c r="N397" s="8">
        <v>35409.01</v>
      </c>
      <c r="O397" s="8" t="str">
        <f t="shared" si="41"/>
        <v>Not Fraud</v>
      </c>
      <c r="P397" s="8">
        <v>0</v>
      </c>
      <c r="Q397" s="8" t="s">
        <v>1027</v>
      </c>
      <c r="R397" s="8" t="s">
        <v>1029</v>
      </c>
      <c r="S397" s="8">
        <v>1597</v>
      </c>
      <c r="T397" s="8">
        <v>10</v>
      </c>
      <c r="U397" s="8">
        <v>3229.38</v>
      </c>
      <c r="V397" s="8">
        <v>1.5</v>
      </c>
      <c r="W397" s="8">
        <v>4.7</v>
      </c>
      <c r="X397" s="8">
        <v>0</v>
      </c>
      <c r="Y397" s="20" t="str">
        <f t="shared" si="36"/>
        <v>Normal</v>
      </c>
      <c r="Z397" s="20">
        <f t="shared" si="37"/>
        <v>0.56248884189667103</v>
      </c>
      <c r="AA397" s="20">
        <f t="shared" si="38"/>
        <v>-0.51392728667692389</v>
      </c>
      <c r="AB397" s="20">
        <f t="shared" si="39"/>
        <v>-1.2867499315170965</v>
      </c>
      <c r="AC397" s="20">
        <f t="shared" si="40"/>
        <v>-0.69801329866061124</v>
      </c>
      <c r="AD397" s="20"/>
    </row>
    <row r="398" spans="1:30" x14ac:dyDescent="0.45">
      <c r="A398" s="8" t="s">
        <v>482</v>
      </c>
      <c r="B398" s="8" t="s">
        <v>971</v>
      </c>
      <c r="C398" s="8">
        <v>32</v>
      </c>
      <c r="D398" s="8" t="s">
        <v>1009</v>
      </c>
      <c r="E398" s="8" t="s">
        <v>1013</v>
      </c>
      <c r="F398" s="8" t="s">
        <v>1016</v>
      </c>
      <c r="G398" s="8" t="s">
        <v>1021</v>
      </c>
      <c r="H398" s="8">
        <v>61962.61</v>
      </c>
      <c r="I398" s="8">
        <v>748</v>
      </c>
      <c r="J398" s="8">
        <v>1</v>
      </c>
      <c r="K398" s="8">
        <v>1</v>
      </c>
      <c r="L398" s="8">
        <v>3193.25</v>
      </c>
      <c r="M398" s="8">
        <v>794.74</v>
      </c>
      <c r="N398" s="8">
        <v>49479.3</v>
      </c>
      <c r="O398" s="8" t="str">
        <f t="shared" si="41"/>
        <v>Not Fraud</v>
      </c>
      <c r="P398" s="8">
        <v>0</v>
      </c>
      <c r="Q398" s="8" t="s">
        <v>1027</v>
      </c>
      <c r="R398" s="8" t="s">
        <v>1030</v>
      </c>
      <c r="S398" s="8">
        <v>3410</v>
      </c>
      <c r="T398" s="8">
        <v>1</v>
      </c>
      <c r="U398" s="8">
        <v>4484.96</v>
      </c>
      <c r="V398" s="8">
        <v>5.7</v>
      </c>
      <c r="W398" s="8">
        <v>1.5</v>
      </c>
      <c r="X398" s="8">
        <v>0</v>
      </c>
      <c r="Y398" s="20" t="str">
        <f t="shared" si="36"/>
        <v>Normal</v>
      </c>
      <c r="Z398" s="20">
        <f t="shared" si="37"/>
        <v>0.56733245462771409</v>
      </c>
      <c r="AA398" s="20">
        <f t="shared" si="38"/>
        <v>-0.95293043199648897</v>
      </c>
      <c r="AB398" s="20">
        <f t="shared" si="39"/>
        <v>-0.55688313346017626</v>
      </c>
      <c r="AC398" s="20">
        <f t="shared" si="40"/>
        <v>-1.1981241241262428</v>
      </c>
      <c r="AD398" s="20"/>
    </row>
    <row r="399" spans="1:30" x14ac:dyDescent="0.45">
      <c r="A399" s="8" t="s">
        <v>455</v>
      </c>
      <c r="B399" s="8" t="s">
        <v>945</v>
      </c>
      <c r="C399" s="8">
        <v>46</v>
      </c>
      <c r="D399" s="8" t="s">
        <v>1009</v>
      </c>
      <c r="E399" s="8" t="s">
        <v>1013</v>
      </c>
      <c r="F399" s="8" t="s">
        <v>1016</v>
      </c>
      <c r="G399" s="8" t="s">
        <v>1020</v>
      </c>
      <c r="H399" s="8">
        <v>114009.81</v>
      </c>
      <c r="I399" s="8">
        <v>646</v>
      </c>
      <c r="J399" s="8">
        <v>0</v>
      </c>
      <c r="K399" s="8">
        <v>0</v>
      </c>
      <c r="L399" s="8">
        <v>3203.47</v>
      </c>
      <c r="M399" s="8">
        <v>8462.92</v>
      </c>
      <c r="N399" s="8">
        <v>76778.81</v>
      </c>
      <c r="O399" s="8" t="str">
        <f t="shared" si="41"/>
        <v>Not Fraud</v>
      </c>
      <c r="P399" s="8">
        <v>0</v>
      </c>
      <c r="Q399" s="8" t="s">
        <v>1026</v>
      </c>
      <c r="R399" s="8" t="s">
        <v>1028</v>
      </c>
      <c r="S399" s="8">
        <v>1216</v>
      </c>
      <c r="T399" s="8">
        <v>166</v>
      </c>
      <c r="U399" s="8">
        <v>6431.31</v>
      </c>
      <c r="V399" s="8">
        <v>4.9000000000000004</v>
      </c>
      <c r="W399" s="8">
        <v>8.3000000000000007</v>
      </c>
      <c r="X399" s="8">
        <v>0</v>
      </c>
      <c r="Y399" s="20" t="str">
        <f t="shared" si="36"/>
        <v>Normal</v>
      </c>
      <c r="Z399" s="20">
        <f t="shared" si="37"/>
        <v>0.57220947158448832</v>
      </c>
      <c r="AA399" s="20">
        <f t="shared" si="38"/>
        <v>-0.57024656885729108</v>
      </c>
      <c r="AB399" s="20">
        <f t="shared" si="39"/>
        <v>0.85922171954732174</v>
      </c>
      <c r="AC399" s="20">
        <f t="shared" si="40"/>
        <v>0.98637421838210604</v>
      </c>
      <c r="AD399" s="20"/>
    </row>
    <row r="400" spans="1:30" x14ac:dyDescent="0.45">
      <c r="A400" s="8" t="s">
        <v>123</v>
      </c>
      <c r="B400" s="8" t="s">
        <v>622</v>
      </c>
      <c r="C400" s="8">
        <v>28.8</v>
      </c>
      <c r="D400" s="8" t="s">
        <v>1009</v>
      </c>
      <c r="E400" s="8" t="s">
        <v>1012</v>
      </c>
      <c r="F400" s="8" t="s">
        <v>1019</v>
      </c>
      <c r="G400" s="8" t="s">
        <v>1020</v>
      </c>
      <c r="H400" s="8">
        <v>100819.14</v>
      </c>
      <c r="I400" s="8">
        <v>518</v>
      </c>
      <c r="J400" s="8">
        <v>0</v>
      </c>
      <c r="K400" s="8">
        <v>1</v>
      </c>
      <c r="L400" s="8">
        <v>3227.07</v>
      </c>
      <c r="M400" s="8">
        <v>2062.9899999999998</v>
      </c>
      <c r="N400" s="8">
        <v>79062.5</v>
      </c>
      <c r="O400" s="8" t="str">
        <f t="shared" si="41"/>
        <v>Fraud</v>
      </c>
      <c r="P400" s="8">
        <v>1</v>
      </c>
      <c r="Q400" s="8" t="s">
        <v>1026</v>
      </c>
      <c r="R400" s="8" t="s">
        <v>1029</v>
      </c>
      <c r="S400" s="8">
        <v>2533</v>
      </c>
      <c r="T400" s="8">
        <v>202</v>
      </c>
      <c r="U400" s="8">
        <v>557.32000000000005</v>
      </c>
      <c r="V400" s="8">
        <v>7.3</v>
      </c>
      <c r="W400" s="8">
        <v>3.6</v>
      </c>
      <c r="X400" s="8">
        <v>2049.59</v>
      </c>
      <c r="Y400" s="20" t="str">
        <f t="shared" si="36"/>
        <v>Normal</v>
      </c>
      <c r="Z400" s="20">
        <f t="shared" si="37"/>
        <v>0.58347146768819447</v>
      </c>
      <c r="AA400" s="20">
        <f t="shared" si="38"/>
        <v>-0.88963786330009864</v>
      </c>
      <c r="AB400" s="20">
        <f t="shared" si="39"/>
        <v>0.97768335097457792</v>
      </c>
      <c r="AC400" s="20">
        <f t="shared" si="40"/>
        <v>0.43274219299794325</v>
      </c>
      <c r="AD400" s="20"/>
    </row>
    <row r="401" spans="1:30" x14ac:dyDescent="0.45">
      <c r="A401" s="8" t="s">
        <v>374</v>
      </c>
      <c r="B401" s="8" t="s">
        <v>869</v>
      </c>
      <c r="C401" s="8">
        <v>72.099999999999994</v>
      </c>
      <c r="D401" s="8" t="s">
        <v>1009</v>
      </c>
      <c r="E401" s="8" t="s">
        <v>1013</v>
      </c>
      <c r="F401" s="8" t="s">
        <v>1016</v>
      </c>
      <c r="G401" s="8" t="s">
        <v>1021</v>
      </c>
      <c r="H401" s="8">
        <v>96650.72</v>
      </c>
      <c r="I401" s="8">
        <v>665</v>
      </c>
      <c r="J401" s="8">
        <v>1</v>
      </c>
      <c r="K401" s="8">
        <v>0</v>
      </c>
      <c r="L401" s="8">
        <v>3237.22</v>
      </c>
      <c r="M401" s="8">
        <v>33420.550000000003</v>
      </c>
      <c r="N401" s="8">
        <v>74615.28</v>
      </c>
      <c r="O401" s="8" t="str">
        <f t="shared" si="41"/>
        <v>Fraud</v>
      </c>
      <c r="P401" s="8">
        <v>1</v>
      </c>
      <c r="Q401" s="8" t="s">
        <v>1027</v>
      </c>
      <c r="R401" s="8" t="s">
        <v>1029</v>
      </c>
      <c r="S401" s="8">
        <v>2461</v>
      </c>
      <c r="T401" s="8">
        <v>96</v>
      </c>
      <c r="U401" s="8">
        <v>4113.9799999999996</v>
      </c>
      <c r="V401" s="8">
        <v>3.9</v>
      </c>
      <c r="W401" s="8">
        <v>4.9000000000000004</v>
      </c>
      <c r="X401" s="8">
        <v>3232.4</v>
      </c>
      <c r="Y401" s="20" t="str">
        <f t="shared" si="36"/>
        <v>Normal</v>
      </c>
      <c r="Z401" s="20">
        <f t="shared" si="37"/>
        <v>0.5883150804192373</v>
      </c>
      <c r="AA401" s="20">
        <f t="shared" si="38"/>
        <v>0.67527482777121051</v>
      </c>
      <c r="AB401" s="20">
        <f t="shared" si="39"/>
        <v>0.74699313622742658</v>
      </c>
      <c r="AC401" s="20">
        <f t="shared" si="40"/>
        <v>0.25778741001483085</v>
      </c>
      <c r="AD401" s="20"/>
    </row>
    <row r="402" spans="1:30" x14ac:dyDescent="0.45">
      <c r="A402" s="8" t="s">
        <v>359</v>
      </c>
      <c r="B402" s="8" t="s">
        <v>854</v>
      </c>
      <c r="C402" s="8">
        <v>37.6</v>
      </c>
      <c r="D402" s="8" t="s">
        <v>1010</v>
      </c>
      <c r="E402" s="8" t="s">
        <v>1014</v>
      </c>
      <c r="F402" s="8" t="s">
        <v>1016</v>
      </c>
      <c r="G402" s="8" t="s">
        <v>1021</v>
      </c>
      <c r="H402" s="8">
        <v>112145.56</v>
      </c>
      <c r="I402" s="8">
        <v>566</v>
      </c>
      <c r="J402" s="8">
        <v>1</v>
      </c>
      <c r="K402" s="8">
        <v>0</v>
      </c>
      <c r="L402" s="8">
        <v>3241.74</v>
      </c>
      <c r="M402" s="8">
        <v>58017.19</v>
      </c>
      <c r="N402" s="8">
        <v>52833.2</v>
      </c>
      <c r="O402" s="8" t="str">
        <f t="shared" si="41"/>
        <v>Fraud</v>
      </c>
      <c r="P402" s="8">
        <v>1</v>
      </c>
      <c r="Q402" s="8" t="s">
        <v>1024</v>
      </c>
      <c r="R402" s="8" t="s">
        <v>1030</v>
      </c>
      <c r="S402" s="8">
        <v>3253</v>
      </c>
      <c r="T402" s="8">
        <v>77</v>
      </c>
      <c r="U402" s="8">
        <v>2619.84</v>
      </c>
      <c r="V402" s="8">
        <v>2.4</v>
      </c>
      <c r="W402" s="8">
        <v>1.1000000000000001</v>
      </c>
      <c r="X402" s="8">
        <v>3167.78</v>
      </c>
      <c r="Y402" s="20" t="str">
        <f t="shared" si="36"/>
        <v>Normal</v>
      </c>
      <c r="Z402" s="20">
        <f t="shared" si="37"/>
        <v>0.59047203899503176</v>
      </c>
      <c r="AA402" s="20">
        <f t="shared" si="38"/>
        <v>1.9027808612034098</v>
      </c>
      <c r="AB402" s="20">
        <f t="shared" si="39"/>
        <v>-0.38290660177510794</v>
      </c>
      <c r="AC402" s="20">
        <f t="shared" si="40"/>
        <v>0.90812887502028861</v>
      </c>
      <c r="AD402" s="20"/>
    </row>
    <row r="403" spans="1:30" x14ac:dyDescent="0.45">
      <c r="A403" s="8" t="s">
        <v>420</v>
      </c>
      <c r="B403" s="8" t="s">
        <v>910</v>
      </c>
      <c r="C403" s="8">
        <v>70.3</v>
      </c>
      <c r="D403" s="8" t="s">
        <v>1010</v>
      </c>
      <c r="E403" s="8" t="s">
        <v>1012</v>
      </c>
      <c r="F403" s="8" t="s">
        <v>1016</v>
      </c>
      <c r="G403" s="8" t="s">
        <v>1022</v>
      </c>
      <c r="H403" s="8">
        <v>66702.23</v>
      </c>
      <c r="I403" s="8">
        <v>652</v>
      </c>
      <c r="J403" s="8">
        <v>1</v>
      </c>
      <c r="K403" s="8">
        <v>1</v>
      </c>
      <c r="L403" s="8">
        <v>3246.03</v>
      </c>
      <c r="M403" s="8">
        <v>9988.5400000000009</v>
      </c>
      <c r="N403" s="8">
        <v>46448.71</v>
      </c>
      <c r="O403" s="8" t="str">
        <f t="shared" si="41"/>
        <v>Fraud</v>
      </c>
      <c r="P403" s="8">
        <v>1</v>
      </c>
      <c r="Q403" s="8" t="s">
        <v>1026</v>
      </c>
      <c r="R403" s="8" t="s">
        <v>1030</v>
      </c>
      <c r="S403" s="8">
        <v>3564</v>
      </c>
      <c r="T403" s="8">
        <v>203</v>
      </c>
      <c r="U403" s="8">
        <v>5895.67</v>
      </c>
      <c r="V403" s="8">
        <v>4</v>
      </c>
      <c r="W403" s="8">
        <v>5</v>
      </c>
      <c r="X403" s="8">
        <v>2941.65</v>
      </c>
      <c r="Y403" s="20" t="str">
        <f t="shared" si="36"/>
        <v>Normal</v>
      </c>
      <c r="Z403" s="20">
        <f t="shared" si="37"/>
        <v>0.59251924082913787</v>
      </c>
      <c r="AA403" s="20">
        <f t="shared" si="38"/>
        <v>-0.49410983820120014</v>
      </c>
      <c r="AB403" s="20">
        <f t="shared" si="39"/>
        <v>-0.71408863665331046</v>
      </c>
      <c r="AC403" s="20">
        <f t="shared" si="40"/>
        <v>-0.99919522816028472</v>
      </c>
      <c r="AD403" s="20"/>
    </row>
    <row r="404" spans="1:30" x14ac:dyDescent="0.45">
      <c r="A404" s="8" t="s">
        <v>450</v>
      </c>
      <c r="B404" s="8" t="s">
        <v>940</v>
      </c>
      <c r="C404" s="8">
        <v>60.3</v>
      </c>
      <c r="D404" s="8" t="s">
        <v>1010</v>
      </c>
      <c r="E404" s="8" t="s">
        <v>1012</v>
      </c>
      <c r="F404" s="8" t="s">
        <v>1016</v>
      </c>
      <c r="G404" s="8" t="s">
        <v>1022</v>
      </c>
      <c r="H404" s="8">
        <v>116370.86</v>
      </c>
      <c r="I404" s="8">
        <v>686</v>
      </c>
      <c r="J404" s="8">
        <v>1</v>
      </c>
      <c r="K404" s="8">
        <v>0</v>
      </c>
      <c r="L404" s="8">
        <v>3250.83</v>
      </c>
      <c r="M404" s="8">
        <v>7738.4</v>
      </c>
      <c r="N404" s="8">
        <v>95904.23</v>
      </c>
      <c r="O404" s="8" t="str">
        <f t="shared" si="41"/>
        <v>Not Fraud</v>
      </c>
      <c r="P404" s="8">
        <v>0</v>
      </c>
      <c r="Q404" s="8" t="s">
        <v>1027</v>
      </c>
      <c r="R404" s="8" t="s">
        <v>1026</v>
      </c>
      <c r="S404" s="8">
        <v>2866</v>
      </c>
      <c r="T404" s="8">
        <v>31</v>
      </c>
      <c r="U404" s="8">
        <v>9117.27</v>
      </c>
      <c r="V404" s="8">
        <v>8.5</v>
      </c>
      <c r="W404" s="8">
        <v>2.6</v>
      </c>
      <c r="X404" s="8">
        <v>0</v>
      </c>
      <c r="Y404" s="20" t="str">
        <f t="shared" si="36"/>
        <v>Normal</v>
      </c>
      <c r="Z404" s="20">
        <f t="shared" si="37"/>
        <v>0.59480981630785756</v>
      </c>
      <c r="AA404" s="20">
        <f t="shared" si="38"/>
        <v>-0.60640405505631245</v>
      </c>
      <c r="AB404" s="20">
        <f t="shared" si="39"/>
        <v>1.851312789233432</v>
      </c>
      <c r="AC404" s="20">
        <f t="shared" si="40"/>
        <v>1.0854709961449702</v>
      </c>
      <c r="AD404" s="20"/>
    </row>
    <row r="405" spans="1:30" x14ac:dyDescent="0.45">
      <c r="A405" s="8" t="s">
        <v>245</v>
      </c>
      <c r="B405" s="8" t="s">
        <v>743</v>
      </c>
      <c r="C405" s="8">
        <v>60.3</v>
      </c>
      <c r="D405" s="8" t="s">
        <v>1010</v>
      </c>
      <c r="E405" s="8" t="s">
        <v>1012</v>
      </c>
      <c r="F405" s="8" t="s">
        <v>1016</v>
      </c>
      <c r="G405" s="8" t="s">
        <v>1020</v>
      </c>
      <c r="H405" s="8">
        <v>62916.42</v>
      </c>
      <c r="I405" s="8">
        <v>547</v>
      </c>
      <c r="J405" s="8">
        <v>0</v>
      </c>
      <c r="K405" s="8">
        <v>0</v>
      </c>
      <c r="L405" s="8">
        <v>3256.16</v>
      </c>
      <c r="M405" s="8">
        <v>3833.12</v>
      </c>
      <c r="N405" s="8">
        <v>41987.59</v>
      </c>
      <c r="O405" s="8" t="str">
        <f t="shared" si="41"/>
        <v>Not Fraud</v>
      </c>
      <c r="P405" s="8">
        <v>0</v>
      </c>
      <c r="Q405" s="8" t="s">
        <v>1025</v>
      </c>
      <c r="R405" s="8" t="s">
        <v>1029</v>
      </c>
      <c r="S405" s="8">
        <v>587</v>
      </c>
      <c r="T405" s="8">
        <v>87</v>
      </c>
      <c r="U405" s="8">
        <v>342.9</v>
      </c>
      <c r="V405" s="8">
        <v>5.8</v>
      </c>
      <c r="W405" s="8">
        <v>6.6</v>
      </c>
      <c r="X405" s="8">
        <v>0</v>
      </c>
      <c r="Y405" s="20" t="str">
        <f t="shared" si="36"/>
        <v>Normal</v>
      </c>
      <c r="Z405" s="20">
        <f t="shared" si="37"/>
        <v>0.5973533094956861</v>
      </c>
      <c r="AA405" s="20">
        <f t="shared" si="38"/>
        <v>-0.80129875458608968</v>
      </c>
      <c r="AB405" s="20">
        <f t="shared" si="39"/>
        <v>-0.94549988476174962</v>
      </c>
      <c r="AC405" s="20">
        <f t="shared" si="40"/>
        <v>-1.1580913007646041</v>
      </c>
      <c r="AD405" s="20"/>
    </row>
    <row r="406" spans="1:30" x14ac:dyDescent="0.45">
      <c r="A406" s="8" t="s">
        <v>207</v>
      </c>
      <c r="B406" s="8" t="s">
        <v>705</v>
      </c>
      <c r="C406" s="8">
        <v>46.6</v>
      </c>
      <c r="D406" s="8" t="s">
        <v>1010</v>
      </c>
      <c r="E406" s="8" t="s">
        <v>1011</v>
      </c>
      <c r="F406" s="8" t="s">
        <v>1016</v>
      </c>
      <c r="G406" s="8" t="s">
        <v>1022</v>
      </c>
      <c r="H406" s="8">
        <v>131331.73000000001</v>
      </c>
      <c r="I406" s="8">
        <v>668</v>
      </c>
      <c r="J406" s="8">
        <v>0</v>
      </c>
      <c r="K406" s="8">
        <v>0</v>
      </c>
      <c r="L406" s="8">
        <v>3270.73</v>
      </c>
      <c r="M406" s="8">
        <v>4671.84</v>
      </c>
      <c r="N406" s="8">
        <v>88454.96</v>
      </c>
      <c r="O406" s="8" t="str">
        <f t="shared" si="41"/>
        <v>Fraud</v>
      </c>
      <c r="P406" s="8">
        <v>1</v>
      </c>
      <c r="Q406" s="8" t="s">
        <v>1024</v>
      </c>
      <c r="R406" s="8" t="s">
        <v>1028</v>
      </c>
      <c r="S406" s="8">
        <v>3838</v>
      </c>
      <c r="T406" s="8">
        <v>227</v>
      </c>
      <c r="U406" s="8">
        <v>2399.84</v>
      </c>
      <c r="V406" s="8">
        <v>2.6</v>
      </c>
      <c r="W406" s="8">
        <v>8.3000000000000007</v>
      </c>
      <c r="X406" s="8">
        <v>2657.5</v>
      </c>
      <c r="Y406" s="20" t="str">
        <f t="shared" si="36"/>
        <v>Normal</v>
      </c>
      <c r="Z406" s="20">
        <f t="shared" si="37"/>
        <v>0.60430616048005037</v>
      </c>
      <c r="AA406" s="20">
        <f t="shared" si="38"/>
        <v>-0.7594420676418463</v>
      </c>
      <c r="AB406" s="20">
        <f t="shared" si="39"/>
        <v>1.4648975239644528</v>
      </c>
      <c r="AC406" s="20">
        <f t="shared" si="40"/>
        <v>1.7134009466030717</v>
      </c>
      <c r="AD406" s="20"/>
    </row>
    <row r="407" spans="1:30" x14ac:dyDescent="0.45">
      <c r="A407" s="8" t="s">
        <v>194</v>
      </c>
      <c r="B407" s="8" t="s">
        <v>692</v>
      </c>
      <c r="C407" s="8">
        <v>37.799999999999997</v>
      </c>
      <c r="D407" s="8" t="s">
        <v>1010</v>
      </c>
      <c r="E407" s="8" t="s">
        <v>1014</v>
      </c>
      <c r="F407" s="8" t="s">
        <v>1019</v>
      </c>
      <c r="G407" s="8" t="s">
        <v>1021</v>
      </c>
      <c r="H407" s="8">
        <v>81634.28</v>
      </c>
      <c r="I407" s="8">
        <v>581</v>
      </c>
      <c r="J407" s="8">
        <v>1</v>
      </c>
      <c r="K407" s="8">
        <v>1</v>
      </c>
      <c r="L407" s="8">
        <v>3331.33</v>
      </c>
      <c r="M407" s="8">
        <v>15907.52</v>
      </c>
      <c r="N407" s="8">
        <v>43614.84</v>
      </c>
      <c r="O407" s="8" t="str">
        <f t="shared" si="41"/>
        <v>Fraud</v>
      </c>
      <c r="P407" s="8">
        <v>1</v>
      </c>
      <c r="Q407" s="8" t="s">
        <v>1025</v>
      </c>
      <c r="R407" s="8" t="s">
        <v>1030</v>
      </c>
      <c r="S407" s="8">
        <v>135</v>
      </c>
      <c r="T407" s="8">
        <v>227</v>
      </c>
      <c r="U407" s="8">
        <v>8559.67</v>
      </c>
      <c r="V407" s="8">
        <v>6.2</v>
      </c>
      <c r="W407" s="8">
        <v>6.9</v>
      </c>
      <c r="X407" s="8">
        <v>2676.49</v>
      </c>
      <c r="Y407" s="20" t="str">
        <f t="shared" si="36"/>
        <v>Normal</v>
      </c>
      <c r="Z407" s="20">
        <f t="shared" si="37"/>
        <v>0.63322467589888842</v>
      </c>
      <c r="AA407" s="20">
        <f t="shared" si="38"/>
        <v>-0.19872056300895763</v>
      </c>
      <c r="AB407" s="20">
        <f t="shared" si="39"/>
        <v>-0.86108970223259607</v>
      </c>
      <c r="AC407" s="20">
        <f t="shared" si="40"/>
        <v>-0.3724748959377675</v>
      </c>
      <c r="AD407" s="20"/>
    </row>
    <row r="408" spans="1:30" x14ac:dyDescent="0.45">
      <c r="A408" s="8" t="s">
        <v>103</v>
      </c>
      <c r="B408" s="8" t="s">
        <v>603</v>
      </c>
      <c r="C408" s="8">
        <v>46.7</v>
      </c>
      <c r="D408" s="8" t="s">
        <v>1010</v>
      </c>
      <c r="E408" s="8" t="s">
        <v>1015</v>
      </c>
      <c r="F408" s="8" t="s">
        <v>1016</v>
      </c>
      <c r="G408" s="8" t="s">
        <v>1023</v>
      </c>
      <c r="H408" s="8">
        <v>114149.43</v>
      </c>
      <c r="I408" s="8">
        <v>748</v>
      </c>
      <c r="J408" s="8">
        <v>0</v>
      </c>
      <c r="K408" s="8">
        <v>1</v>
      </c>
      <c r="L408" s="8">
        <v>3354.81</v>
      </c>
      <c r="M408" s="8">
        <v>3567.39</v>
      </c>
      <c r="N408" s="8">
        <v>71112.09</v>
      </c>
      <c r="O408" s="8" t="str">
        <f t="shared" si="41"/>
        <v>Not Fraud</v>
      </c>
      <c r="P408" s="8">
        <v>0</v>
      </c>
      <c r="Q408" s="8" t="s">
        <v>1026</v>
      </c>
      <c r="R408" s="8" t="s">
        <v>1026</v>
      </c>
      <c r="S408" s="8">
        <v>4077</v>
      </c>
      <c r="T408" s="8">
        <v>240</v>
      </c>
      <c r="U408" s="8">
        <v>3408.76</v>
      </c>
      <c r="V408" s="8">
        <v>6.5</v>
      </c>
      <c r="W408" s="8">
        <v>5.0999999999999996</v>
      </c>
      <c r="X408" s="8">
        <v>0</v>
      </c>
      <c r="Y408" s="20" t="str">
        <f t="shared" si="36"/>
        <v>Normal</v>
      </c>
      <c r="Z408" s="20">
        <f t="shared" si="37"/>
        <v>0.64442940761562639</v>
      </c>
      <c r="AA408" s="20">
        <f t="shared" si="38"/>
        <v>-0.81456012598738425</v>
      </c>
      <c r="AB408" s="20">
        <f t="shared" si="39"/>
        <v>0.56527249875051433</v>
      </c>
      <c r="AC408" s="20">
        <f t="shared" si="40"/>
        <v>0.99223427730133718</v>
      </c>
      <c r="AD408" s="20"/>
    </row>
    <row r="409" spans="1:30" x14ac:dyDescent="0.45">
      <c r="A409" s="8" t="s">
        <v>283</v>
      </c>
      <c r="B409" s="8" t="s">
        <v>780</v>
      </c>
      <c r="C409" s="8">
        <v>36.1</v>
      </c>
      <c r="D409" s="8" t="s">
        <v>1009</v>
      </c>
      <c r="E409" s="8" t="s">
        <v>1014</v>
      </c>
      <c r="F409" s="8" t="s">
        <v>1016</v>
      </c>
      <c r="G409" s="8" t="s">
        <v>1022</v>
      </c>
      <c r="H409" s="8">
        <v>69191.460000000006</v>
      </c>
      <c r="I409" s="8">
        <v>685</v>
      </c>
      <c r="J409" s="8">
        <v>0</v>
      </c>
      <c r="K409" s="8">
        <v>0</v>
      </c>
      <c r="L409" s="8">
        <v>3370.75</v>
      </c>
      <c r="M409" s="8">
        <v>22105.279999999999</v>
      </c>
      <c r="N409" s="8">
        <v>55535.95</v>
      </c>
      <c r="O409" s="8" t="str">
        <f t="shared" si="41"/>
        <v>Fraud</v>
      </c>
      <c r="P409" s="8">
        <v>1</v>
      </c>
      <c r="Q409" s="8" t="s">
        <v>1025</v>
      </c>
      <c r="R409" s="8" t="s">
        <v>1029</v>
      </c>
      <c r="S409" s="8">
        <v>3684</v>
      </c>
      <c r="T409" s="8">
        <v>21</v>
      </c>
      <c r="U409" s="8">
        <v>7321.41</v>
      </c>
      <c r="V409" s="8">
        <v>3.9</v>
      </c>
      <c r="W409" s="8">
        <v>5.6</v>
      </c>
      <c r="X409" s="8">
        <v>2001.57</v>
      </c>
      <c r="Y409" s="20" t="str">
        <f t="shared" si="36"/>
        <v>Normal</v>
      </c>
      <c r="Z409" s="20">
        <f t="shared" si="37"/>
        <v>0.65203602701787533</v>
      </c>
      <c r="AA409" s="20">
        <f t="shared" si="38"/>
        <v>0.11058134951912534</v>
      </c>
      <c r="AB409" s="20">
        <f t="shared" si="39"/>
        <v>-0.24270711132762313</v>
      </c>
      <c r="AC409" s="20">
        <f t="shared" si="40"/>
        <v>-0.89471854528162686</v>
      </c>
      <c r="AD409" s="20"/>
    </row>
    <row r="410" spans="1:30" x14ac:dyDescent="0.45">
      <c r="A410" s="8" t="s">
        <v>38</v>
      </c>
      <c r="B410" s="8" t="s">
        <v>538</v>
      </c>
      <c r="C410" s="8">
        <v>41.6</v>
      </c>
      <c r="D410" s="8" t="s">
        <v>1009</v>
      </c>
      <c r="E410" s="8" t="s">
        <v>1012</v>
      </c>
      <c r="F410" s="8" t="s">
        <v>1018</v>
      </c>
      <c r="G410" s="8" t="s">
        <v>1020</v>
      </c>
      <c r="H410" s="8">
        <v>85130.559999999998</v>
      </c>
      <c r="I410" s="8">
        <v>673</v>
      </c>
      <c r="J410" s="8">
        <v>0</v>
      </c>
      <c r="K410" s="8">
        <v>1</v>
      </c>
      <c r="L410" s="8">
        <v>3385.16</v>
      </c>
      <c r="M410" s="8">
        <v>17667.95</v>
      </c>
      <c r="N410" s="8">
        <v>54090.39</v>
      </c>
      <c r="O410" s="8" t="str">
        <f t="shared" si="41"/>
        <v>Fraud</v>
      </c>
      <c r="P410" s="8">
        <v>1</v>
      </c>
      <c r="Q410" s="8" t="s">
        <v>1027</v>
      </c>
      <c r="R410" s="8" t="s">
        <v>1030</v>
      </c>
      <c r="S410" s="8">
        <v>2986</v>
      </c>
      <c r="T410" s="8">
        <v>250</v>
      </c>
      <c r="U410" s="8">
        <v>9743.75</v>
      </c>
      <c r="V410" s="8">
        <v>3.8</v>
      </c>
      <c r="W410" s="8">
        <v>7.2</v>
      </c>
      <c r="X410" s="8">
        <v>1847.2</v>
      </c>
      <c r="Y410" s="20" t="str">
        <f t="shared" si="36"/>
        <v>Normal</v>
      </c>
      <c r="Z410" s="20">
        <f t="shared" si="37"/>
        <v>0.6589125254862821</v>
      </c>
      <c r="AA410" s="20">
        <f t="shared" si="38"/>
        <v>-0.11086553702024343</v>
      </c>
      <c r="AB410" s="20">
        <f t="shared" si="39"/>
        <v>-0.31769250598538495</v>
      </c>
      <c r="AC410" s="20">
        <f t="shared" si="40"/>
        <v>-0.22573082776608702</v>
      </c>
      <c r="AD410" s="20"/>
    </row>
    <row r="411" spans="1:30" x14ac:dyDescent="0.45">
      <c r="A411" s="8" t="s">
        <v>67</v>
      </c>
      <c r="B411" s="8" t="s">
        <v>567</v>
      </c>
      <c r="C411" s="8">
        <v>27.8</v>
      </c>
      <c r="D411" s="8" t="s">
        <v>1010</v>
      </c>
      <c r="E411" s="8" t="s">
        <v>1012</v>
      </c>
      <c r="F411" s="8" t="s">
        <v>1019</v>
      </c>
      <c r="G411" s="8" t="s">
        <v>1021</v>
      </c>
      <c r="H411" s="8">
        <v>128884.49</v>
      </c>
      <c r="I411" s="8">
        <v>776</v>
      </c>
      <c r="J411" s="8">
        <v>1</v>
      </c>
      <c r="K411" s="8">
        <v>0</v>
      </c>
      <c r="L411" s="8">
        <v>3386.26</v>
      </c>
      <c r="M411" s="8">
        <v>11591.21</v>
      </c>
      <c r="N411" s="8">
        <v>82019.19</v>
      </c>
      <c r="O411" s="8" t="str">
        <f t="shared" si="41"/>
        <v>Not Fraud</v>
      </c>
      <c r="P411" s="8">
        <v>0</v>
      </c>
      <c r="Q411" s="8" t="s">
        <v>1024</v>
      </c>
      <c r="R411" s="8" t="s">
        <v>1030</v>
      </c>
      <c r="S411" s="8">
        <v>3231</v>
      </c>
      <c r="T411" s="8">
        <v>103</v>
      </c>
      <c r="U411" s="8">
        <v>7651.14</v>
      </c>
      <c r="V411" s="8">
        <v>1.1000000000000001</v>
      </c>
      <c r="W411" s="8">
        <v>2.1</v>
      </c>
      <c r="X411" s="8">
        <v>0</v>
      </c>
      <c r="Y411" s="20" t="str">
        <f t="shared" si="36"/>
        <v>Normal</v>
      </c>
      <c r="Z411" s="20">
        <f t="shared" si="37"/>
        <v>0.65943744903348889</v>
      </c>
      <c r="AA411" s="20">
        <f t="shared" si="38"/>
        <v>-0.41412789373233033</v>
      </c>
      <c r="AB411" s="20">
        <f t="shared" si="39"/>
        <v>1.1310554465850393</v>
      </c>
      <c r="AC411" s="20">
        <f t="shared" si="40"/>
        <v>1.6106866464347602</v>
      </c>
      <c r="AD411" s="20"/>
    </row>
    <row r="412" spans="1:30" x14ac:dyDescent="0.45">
      <c r="A412" s="8" t="s">
        <v>246</v>
      </c>
      <c r="B412" s="8" t="s">
        <v>744</v>
      </c>
      <c r="C412" s="8">
        <v>25.8</v>
      </c>
      <c r="D412" s="8" t="s">
        <v>1009</v>
      </c>
      <c r="E412" s="8" t="s">
        <v>1014</v>
      </c>
      <c r="F412" s="8" t="s">
        <v>1018</v>
      </c>
      <c r="G412" s="8" t="s">
        <v>1023</v>
      </c>
      <c r="H412" s="8">
        <v>72767.839999999997</v>
      </c>
      <c r="I412" s="8">
        <v>696</v>
      </c>
      <c r="J412" s="8">
        <v>1</v>
      </c>
      <c r="K412" s="8">
        <v>1</v>
      </c>
      <c r="L412" s="8">
        <v>3405.54</v>
      </c>
      <c r="M412" s="8">
        <v>12759.91</v>
      </c>
      <c r="N412" s="8">
        <v>72767.839999999997</v>
      </c>
      <c r="O412" s="8" t="str">
        <f t="shared" si="41"/>
        <v>Not Fraud</v>
      </c>
      <c r="P412" s="8">
        <v>0</v>
      </c>
      <c r="Q412" s="8" t="s">
        <v>1024</v>
      </c>
      <c r="R412" s="8" t="s">
        <v>1029</v>
      </c>
      <c r="S412" s="8">
        <v>3331</v>
      </c>
      <c r="T412" s="8">
        <v>258</v>
      </c>
      <c r="U412" s="8">
        <v>9128.75</v>
      </c>
      <c r="V412" s="8">
        <v>6.4</v>
      </c>
      <c r="W412" s="8">
        <v>7</v>
      </c>
      <c r="X412" s="8">
        <v>0</v>
      </c>
      <c r="Y412" s="20" t="str">
        <f t="shared" si="36"/>
        <v>Normal</v>
      </c>
      <c r="Z412" s="20">
        <f t="shared" si="37"/>
        <v>0.66863792720634685</v>
      </c>
      <c r="AA412" s="20">
        <f t="shared" si="38"/>
        <v>-0.35580341114966002</v>
      </c>
      <c r="AB412" s="20">
        <f t="shared" si="39"/>
        <v>0.6511610590348258</v>
      </c>
      <c r="AC412" s="20">
        <f t="shared" si="40"/>
        <v>-0.74461256105615481</v>
      </c>
      <c r="AD412" s="20"/>
    </row>
    <row r="413" spans="1:30" x14ac:dyDescent="0.45">
      <c r="A413" s="8" t="s">
        <v>47</v>
      </c>
      <c r="B413" s="8" t="s">
        <v>547</v>
      </c>
      <c r="C413" s="8">
        <v>41.8</v>
      </c>
      <c r="D413" s="8" t="s">
        <v>1010</v>
      </c>
      <c r="E413" s="8" t="s">
        <v>1014</v>
      </c>
      <c r="F413" s="8" t="s">
        <v>1016</v>
      </c>
      <c r="G413" s="8" t="s">
        <v>1023</v>
      </c>
      <c r="H413" s="8">
        <v>78292.45</v>
      </c>
      <c r="I413" s="8">
        <v>614</v>
      </c>
      <c r="J413" s="8">
        <v>0</v>
      </c>
      <c r="K413" s="8">
        <v>1</v>
      </c>
      <c r="L413" s="8">
        <v>3439.05</v>
      </c>
      <c r="M413" s="8">
        <v>2655.68</v>
      </c>
      <c r="N413" s="8">
        <v>36121.5</v>
      </c>
      <c r="O413" s="8" t="str">
        <f t="shared" si="41"/>
        <v>Fraud</v>
      </c>
      <c r="P413" s="8">
        <v>1</v>
      </c>
      <c r="Q413" s="8" t="s">
        <v>1027</v>
      </c>
      <c r="R413" s="8" t="s">
        <v>1030</v>
      </c>
      <c r="S413" s="8">
        <v>946</v>
      </c>
      <c r="T413" s="8">
        <v>283</v>
      </c>
      <c r="U413" s="8">
        <v>7792.26</v>
      </c>
      <c r="V413" s="8">
        <v>4.2</v>
      </c>
      <c r="W413" s="8">
        <v>0.5</v>
      </c>
      <c r="X413" s="8">
        <v>3090.26</v>
      </c>
      <c r="Y413" s="20" t="str">
        <f t="shared" si="36"/>
        <v>Normal</v>
      </c>
      <c r="Z413" s="20">
        <f t="shared" si="37"/>
        <v>0.68462900726715992</v>
      </c>
      <c r="AA413" s="20">
        <f t="shared" si="38"/>
        <v>-0.8600594106758811</v>
      </c>
      <c r="AB413" s="20">
        <f t="shared" si="39"/>
        <v>-1.2497910063671831</v>
      </c>
      <c r="AC413" s="20">
        <f t="shared" si="40"/>
        <v>-0.51273646804817263</v>
      </c>
      <c r="AD413" s="20"/>
    </row>
    <row r="414" spans="1:30" x14ac:dyDescent="0.45">
      <c r="A414" s="8" t="s">
        <v>224</v>
      </c>
      <c r="B414" s="8" t="s">
        <v>722</v>
      </c>
      <c r="C414" s="8">
        <v>58.4</v>
      </c>
      <c r="D414" s="8" t="s">
        <v>1010</v>
      </c>
      <c r="E414" s="8" t="s">
        <v>1014</v>
      </c>
      <c r="F414" s="8" t="s">
        <v>1016</v>
      </c>
      <c r="G414" s="8" t="s">
        <v>1021</v>
      </c>
      <c r="H414" s="8">
        <v>56200.59</v>
      </c>
      <c r="I414" s="8">
        <v>675</v>
      </c>
      <c r="J414" s="8">
        <v>1</v>
      </c>
      <c r="K414" s="8">
        <v>1</v>
      </c>
      <c r="L414" s="8">
        <v>3459.34</v>
      </c>
      <c r="M414" s="8">
        <v>16597.349999999999</v>
      </c>
      <c r="N414" s="8">
        <v>35585.75</v>
      </c>
      <c r="O414" s="8" t="str">
        <f t="shared" si="41"/>
        <v>Not Fraud</v>
      </c>
      <c r="P414" s="8">
        <v>0</v>
      </c>
      <c r="Q414" s="8" t="s">
        <v>1027</v>
      </c>
      <c r="R414" s="8" t="s">
        <v>1029</v>
      </c>
      <c r="S414" s="8">
        <v>1690</v>
      </c>
      <c r="T414" s="8">
        <v>63</v>
      </c>
      <c r="U414" s="8">
        <v>1850.36</v>
      </c>
      <c r="V414" s="8">
        <v>3.1</v>
      </c>
      <c r="W414" s="8">
        <v>7.6</v>
      </c>
      <c r="X414" s="8">
        <v>0</v>
      </c>
      <c r="Y414" s="20" t="str">
        <f t="shared" si="36"/>
        <v>Normal</v>
      </c>
      <c r="Z414" s="20">
        <f t="shared" si="37"/>
        <v>0.69431146069699867</v>
      </c>
      <c r="AA414" s="20">
        <f t="shared" si="38"/>
        <v>-0.16429429637080983</v>
      </c>
      <c r="AB414" s="20">
        <f t="shared" si="39"/>
        <v>-1.2775819145189693</v>
      </c>
      <c r="AC414" s="20">
        <f t="shared" si="40"/>
        <v>-1.4399646677001519</v>
      </c>
      <c r="AD414" s="20"/>
    </row>
    <row r="415" spans="1:30" x14ac:dyDescent="0.45">
      <c r="A415" s="8" t="s">
        <v>184</v>
      </c>
      <c r="B415" s="8" t="s">
        <v>682</v>
      </c>
      <c r="C415" s="8">
        <v>61.8</v>
      </c>
      <c r="D415" s="8" t="s">
        <v>1010</v>
      </c>
      <c r="E415" s="8" t="s">
        <v>1012</v>
      </c>
      <c r="F415" s="8" t="s">
        <v>1016</v>
      </c>
      <c r="G415" s="8" t="s">
        <v>1023</v>
      </c>
      <c r="H415" s="8">
        <v>118915.01</v>
      </c>
      <c r="I415" s="8">
        <v>486</v>
      </c>
      <c r="J415" s="8">
        <v>1</v>
      </c>
      <c r="K415" s="8">
        <v>0</v>
      </c>
      <c r="L415" s="8">
        <v>3490.97</v>
      </c>
      <c r="M415" s="8">
        <v>26251.24</v>
      </c>
      <c r="N415" s="8">
        <v>82420.61</v>
      </c>
      <c r="O415" s="8" t="str">
        <f t="shared" si="41"/>
        <v>Not Fraud</v>
      </c>
      <c r="P415" s="8">
        <v>0</v>
      </c>
      <c r="Q415" s="8" t="s">
        <v>1024</v>
      </c>
      <c r="R415" s="8" t="s">
        <v>1026</v>
      </c>
      <c r="S415" s="8">
        <v>2290</v>
      </c>
      <c r="T415" s="8">
        <v>214</v>
      </c>
      <c r="U415" s="8">
        <v>8525.7800000000007</v>
      </c>
      <c r="V415" s="8">
        <v>5</v>
      </c>
      <c r="W415" s="8">
        <v>2.2999999999999998</v>
      </c>
      <c r="X415" s="8">
        <v>0</v>
      </c>
      <c r="Y415" s="20" t="str">
        <f t="shared" si="36"/>
        <v>Normal</v>
      </c>
      <c r="Z415" s="20">
        <f t="shared" si="37"/>
        <v>0.70940539869531283</v>
      </c>
      <c r="AA415" s="20">
        <f t="shared" si="38"/>
        <v>0.31748728928848263</v>
      </c>
      <c r="AB415" s="20">
        <f t="shared" si="39"/>
        <v>1.1518782675841805</v>
      </c>
      <c r="AC415" s="20">
        <f t="shared" si="40"/>
        <v>1.1922527530520202</v>
      </c>
      <c r="AD415" s="20"/>
    </row>
    <row r="416" spans="1:30" x14ac:dyDescent="0.45">
      <c r="A416" s="8" t="s">
        <v>204</v>
      </c>
      <c r="B416" s="8" t="s">
        <v>702</v>
      </c>
      <c r="C416" s="8">
        <v>37.1</v>
      </c>
      <c r="D416" s="8" t="s">
        <v>1009</v>
      </c>
      <c r="E416" s="8" t="s">
        <v>1012</v>
      </c>
      <c r="F416" s="8" t="s">
        <v>1019</v>
      </c>
      <c r="G416" s="8" t="s">
        <v>1023</v>
      </c>
      <c r="H416" s="8">
        <v>72223.31</v>
      </c>
      <c r="I416" s="8">
        <v>676</v>
      </c>
      <c r="J416" s="8">
        <v>0</v>
      </c>
      <c r="K416" s="8">
        <v>0</v>
      </c>
      <c r="L416" s="8">
        <v>3492.06</v>
      </c>
      <c r="M416" s="8">
        <v>42338.96</v>
      </c>
      <c r="N416" s="8">
        <v>48344.83</v>
      </c>
      <c r="O416" s="8" t="str">
        <f t="shared" si="41"/>
        <v>Not Fraud</v>
      </c>
      <c r="P416" s="8">
        <v>0</v>
      </c>
      <c r="Q416" s="8" t="s">
        <v>1025</v>
      </c>
      <c r="R416" s="8" t="s">
        <v>1029</v>
      </c>
      <c r="S416" s="8">
        <v>3879</v>
      </c>
      <c r="T416" s="8">
        <v>292</v>
      </c>
      <c r="U416" s="8">
        <v>2483.69</v>
      </c>
      <c r="V416" s="8">
        <v>4</v>
      </c>
      <c r="W416" s="8">
        <v>1.1000000000000001</v>
      </c>
      <c r="X416" s="8">
        <v>0</v>
      </c>
      <c r="Y416" s="20" t="str">
        <f t="shared" si="36"/>
        <v>Normal</v>
      </c>
      <c r="Z416" s="20">
        <f t="shared" si="37"/>
        <v>0.70992555021027215</v>
      </c>
      <c r="AA416" s="20">
        <f t="shared" si="38"/>
        <v>1.1203519636573338</v>
      </c>
      <c r="AB416" s="20">
        <f t="shared" si="39"/>
        <v>-0.61573138650909243</v>
      </c>
      <c r="AC416" s="20">
        <f t="shared" si="40"/>
        <v>-0.76746729449899265</v>
      </c>
      <c r="AD416" s="20"/>
    </row>
    <row r="417" spans="1:30" x14ac:dyDescent="0.45">
      <c r="A417" s="8" t="s">
        <v>515</v>
      </c>
      <c r="B417" s="8" t="s">
        <v>1001</v>
      </c>
      <c r="C417" s="8">
        <v>51.2</v>
      </c>
      <c r="D417" s="8" t="s">
        <v>1009</v>
      </c>
      <c r="E417" s="8" t="s">
        <v>1012</v>
      </c>
      <c r="F417" s="8" t="s">
        <v>1019</v>
      </c>
      <c r="G417" s="8" t="s">
        <v>1021</v>
      </c>
      <c r="H417" s="8">
        <v>68757.03</v>
      </c>
      <c r="I417" s="8">
        <v>628</v>
      </c>
      <c r="J417" s="8">
        <v>1</v>
      </c>
      <c r="K417" s="8">
        <v>1</v>
      </c>
      <c r="L417" s="8">
        <v>3507.4</v>
      </c>
      <c r="M417" s="8">
        <v>1412.45</v>
      </c>
      <c r="N417" s="8">
        <v>52804.63</v>
      </c>
      <c r="O417" s="8" t="str">
        <f t="shared" si="41"/>
        <v>Fraud</v>
      </c>
      <c r="P417" s="8">
        <v>1</v>
      </c>
      <c r="Q417" s="8" t="s">
        <v>1027</v>
      </c>
      <c r="R417" s="8" t="s">
        <v>1030</v>
      </c>
      <c r="S417" s="8">
        <v>2616</v>
      </c>
      <c r="T417" s="8">
        <v>261</v>
      </c>
      <c r="U417" s="8">
        <v>8269.7999999999993</v>
      </c>
      <c r="V417" s="8">
        <v>4.5</v>
      </c>
      <c r="W417" s="8">
        <v>8.1</v>
      </c>
      <c r="X417" s="8">
        <v>2595.08</v>
      </c>
      <c r="Y417" s="20" t="str">
        <f t="shared" si="36"/>
        <v>Normal</v>
      </c>
      <c r="Z417" s="20">
        <f t="shared" si="37"/>
        <v>0.71724584767768118</v>
      </c>
      <c r="AA417" s="20">
        <f t="shared" si="38"/>
        <v>-0.92210334537362493</v>
      </c>
      <c r="AB417" s="20">
        <f t="shared" si="39"/>
        <v>-0.3843886106335242</v>
      </c>
      <c r="AC417" s="20">
        <f t="shared" si="40"/>
        <v>-0.91295221808123794</v>
      </c>
      <c r="AD417" s="20"/>
    </row>
    <row r="418" spans="1:30" x14ac:dyDescent="0.45">
      <c r="A418" s="8" t="s">
        <v>108</v>
      </c>
      <c r="B418" s="8" t="s">
        <v>608</v>
      </c>
      <c r="C418" s="8">
        <v>42.5</v>
      </c>
      <c r="D418" s="8" t="s">
        <v>1009</v>
      </c>
      <c r="E418" s="8" t="s">
        <v>1013</v>
      </c>
      <c r="F418" s="8" t="s">
        <v>1019</v>
      </c>
      <c r="G418" s="8" t="s">
        <v>1020</v>
      </c>
      <c r="H418" s="8">
        <v>109535.69</v>
      </c>
      <c r="I418" s="8">
        <v>672</v>
      </c>
      <c r="J418" s="8">
        <v>0</v>
      </c>
      <c r="K418" s="8">
        <v>1</v>
      </c>
      <c r="L418" s="8">
        <v>3543.2</v>
      </c>
      <c r="M418" s="8">
        <v>10143.1</v>
      </c>
      <c r="N418" s="8">
        <v>82675.399999999994</v>
      </c>
      <c r="O418" s="8" t="str">
        <f t="shared" si="41"/>
        <v>Not Fraud</v>
      </c>
      <c r="P418" s="8">
        <v>0</v>
      </c>
      <c r="Q418" s="8" t="s">
        <v>1024</v>
      </c>
      <c r="R418" s="8" t="s">
        <v>1028</v>
      </c>
      <c r="S418" s="8">
        <v>3446</v>
      </c>
      <c r="T418" s="8">
        <v>70</v>
      </c>
      <c r="U418" s="8">
        <v>3273.62</v>
      </c>
      <c r="V418" s="8">
        <v>1.7</v>
      </c>
      <c r="W418" s="8">
        <v>0.5</v>
      </c>
      <c r="X418" s="8">
        <v>0</v>
      </c>
      <c r="Y418" s="20" t="str">
        <f t="shared" si="36"/>
        <v>Normal</v>
      </c>
      <c r="Z418" s="20">
        <f t="shared" si="37"/>
        <v>0.73432972312313327</v>
      </c>
      <c r="AA418" s="20">
        <f t="shared" si="38"/>
        <v>-0.48639645407526744</v>
      </c>
      <c r="AB418" s="20">
        <f t="shared" si="39"/>
        <v>1.1650949647152928</v>
      </c>
      <c r="AC418" s="20">
        <f t="shared" si="40"/>
        <v>0.79858875203264934</v>
      </c>
      <c r="AD418" s="20"/>
    </row>
    <row r="419" spans="1:30" x14ac:dyDescent="0.45">
      <c r="A419" s="8" t="s">
        <v>294</v>
      </c>
      <c r="B419" s="8" t="s">
        <v>790</v>
      </c>
      <c r="C419" s="8">
        <v>28.5</v>
      </c>
      <c r="D419" s="8" t="s">
        <v>1010</v>
      </c>
      <c r="E419" s="8" t="s">
        <v>1011</v>
      </c>
      <c r="F419" s="8" t="s">
        <v>1019</v>
      </c>
      <c r="G419" s="8" t="s">
        <v>1022</v>
      </c>
      <c r="H419" s="8">
        <v>90490.65</v>
      </c>
      <c r="I419" s="8">
        <v>519</v>
      </c>
      <c r="J419" s="8">
        <v>0</v>
      </c>
      <c r="K419" s="8">
        <v>1</v>
      </c>
      <c r="L419" s="8">
        <v>3566.89</v>
      </c>
      <c r="M419" s="8">
        <v>115848.45</v>
      </c>
      <c r="N419" s="8">
        <v>47672.77</v>
      </c>
      <c r="O419" s="8" t="str">
        <f t="shared" si="41"/>
        <v>Fraud</v>
      </c>
      <c r="P419" s="8">
        <v>1</v>
      </c>
      <c r="Q419" s="8" t="s">
        <v>1026</v>
      </c>
      <c r="R419" s="8" t="s">
        <v>1026</v>
      </c>
      <c r="S419" s="8">
        <v>1696</v>
      </c>
      <c r="T419" s="8">
        <v>51</v>
      </c>
      <c r="U419" s="8">
        <v>9826.9699999999993</v>
      </c>
      <c r="V419" s="8">
        <v>4.4000000000000004</v>
      </c>
      <c r="W419" s="8">
        <v>6.8</v>
      </c>
      <c r="X419" s="8">
        <v>2849.82</v>
      </c>
      <c r="Y419" s="20" t="str">
        <f t="shared" si="36"/>
        <v>Normal</v>
      </c>
      <c r="Z419" s="20">
        <f t="shared" si="37"/>
        <v>0.7456346675170652</v>
      </c>
      <c r="AA419" s="20">
        <f t="shared" si="38"/>
        <v>4.7888750826493558</v>
      </c>
      <c r="AB419" s="20">
        <f t="shared" si="39"/>
        <v>-0.65059309016282929</v>
      </c>
      <c r="AC419" s="20">
        <f t="shared" si="40"/>
        <v>-7.5988368656749637E-4</v>
      </c>
      <c r="AD419" s="20"/>
    </row>
    <row r="420" spans="1:30" x14ac:dyDescent="0.45">
      <c r="A420" s="8" t="s">
        <v>394</v>
      </c>
      <c r="B420" s="8" t="s">
        <v>888</v>
      </c>
      <c r="C420" s="8">
        <v>57.5</v>
      </c>
      <c r="D420" s="8" t="s">
        <v>1009</v>
      </c>
      <c r="E420" s="8" t="s">
        <v>1014</v>
      </c>
      <c r="F420" s="8" t="s">
        <v>1016</v>
      </c>
      <c r="G420" s="8" t="s">
        <v>1022</v>
      </c>
      <c r="H420" s="8">
        <v>90497.75</v>
      </c>
      <c r="I420" s="8">
        <v>662</v>
      </c>
      <c r="J420" s="8">
        <v>0</v>
      </c>
      <c r="K420" s="8">
        <v>1</v>
      </c>
      <c r="L420" s="8">
        <v>3616.74</v>
      </c>
      <c r="M420" s="8">
        <v>25486.76</v>
      </c>
      <c r="N420" s="8">
        <v>67272.639999999999</v>
      </c>
      <c r="O420" s="8" t="str">
        <f t="shared" si="41"/>
        <v>Fraud</v>
      </c>
      <c r="P420" s="8">
        <v>1</v>
      </c>
      <c r="Q420" s="8" t="s">
        <v>1024</v>
      </c>
      <c r="R420" s="8" t="s">
        <v>1030</v>
      </c>
      <c r="S420" s="8">
        <v>3033</v>
      </c>
      <c r="T420" s="8">
        <v>248</v>
      </c>
      <c r="U420" s="8">
        <v>2602.91</v>
      </c>
      <c r="V420" s="8">
        <v>5.9</v>
      </c>
      <c r="W420" s="8">
        <v>3.2</v>
      </c>
      <c r="X420" s="8">
        <v>3266.06</v>
      </c>
      <c r="Y420" s="20" t="str">
        <f t="shared" si="36"/>
        <v>Normal</v>
      </c>
      <c r="Z420" s="20">
        <f t="shared" si="37"/>
        <v>0.76942324827002029</v>
      </c>
      <c r="AA420" s="20">
        <f t="shared" si="38"/>
        <v>0.2793355818829894</v>
      </c>
      <c r="AB420" s="20">
        <f t="shared" si="39"/>
        <v>0.36610907867888537</v>
      </c>
      <c r="AC420" s="20">
        <f t="shared" si="40"/>
        <v>-4.6188613373426054E-4</v>
      </c>
      <c r="AD420" s="20"/>
    </row>
    <row r="421" spans="1:30" x14ac:dyDescent="0.45">
      <c r="A421" s="8" t="s">
        <v>493</v>
      </c>
      <c r="B421" s="8" t="s">
        <v>982</v>
      </c>
      <c r="C421" s="8">
        <v>45.9</v>
      </c>
      <c r="D421" s="8" t="s">
        <v>1010</v>
      </c>
      <c r="E421" s="8" t="s">
        <v>1012</v>
      </c>
      <c r="F421" s="8" t="s">
        <v>1018</v>
      </c>
      <c r="G421" s="8" t="s">
        <v>1023</v>
      </c>
      <c r="H421" s="8">
        <v>132508.26999999999</v>
      </c>
      <c r="I421" s="8">
        <v>602</v>
      </c>
      <c r="J421" s="8">
        <v>0</v>
      </c>
      <c r="K421" s="8">
        <v>0</v>
      </c>
      <c r="L421" s="8">
        <v>3619.33</v>
      </c>
      <c r="M421" s="8">
        <v>12350.91</v>
      </c>
      <c r="N421" s="8">
        <v>84238.88</v>
      </c>
      <c r="O421" s="8" t="str">
        <f t="shared" si="41"/>
        <v>Not Fraud</v>
      </c>
      <c r="P421" s="8">
        <v>0</v>
      </c>
      <c r="Q421" s="8" t="s">
        <v>1026</v>
      </c>
      <c r="R421" s="8" t="s">
        <v>1029</v>
      </c>
      <c r="S421" s="8">
        <v>178</v>
      </c>
      <c r="T421" s="8">
        <v>168</v>
      </c>
      <c r="U421" s="8">
        <v>9135.31</v>
      </c>
      <c r="V421" s="8">
        <v>2.8</v>
      </c>
      <c r="W421" s="8">
        <v>1.9</v>
      </c>
      <c r="X421" s="8">
        <v>0</v>
      </c>
      <c r="Y421" s="20" t="str">
        <f t="shared" si="36"/>
        <v>Normal</v>
      </c>
      <c r="Z421" s="20">
        <f t="shared" si="37"/>
        <v>0.7706592046220796</v>
      </c>
      <c r="AA421" s="20">
        <f t="shared" si="38"/>
        <v>-0.37621473430899272</v>
      </c>
      <c r="AB421" s="20">
        <f t="shared" si="39"/>
        <v>1.2461972121761513</v>
      </c>
      <c r="AC421" s="20">
        <f t="shared" si="40"/>
        <v>1.7627820791115396</v>
      </c>
      <c r="AD421" s="20"/>
    </row>
    <row r="422" spans="1:30" x14ac:dyDescent="0.45">
      <c r="A422" s="8" t="s">
        <v>408</v>
      </c>
      <c r="B422" s="8" t="s">
        <v>900</v>
      </c>
      <c r="C422" s="8">
        <v>52.3</v>
      </c>
      <c r="D422" s="8" t="s">
        <v>1009</v>
      </c>
      <c r="E422" s="8" t="s">
        <v>1012</v>
      </c>
      <c r="F422" s="8" t="s">
        <v>1019</v>
      </c>
      <c r="G422" s="8" t="s">
        <v>1020</v>
      </c>
      <c r="H422" s="8">
        <v>85422.55</v>
      </c>
      <c r="I422" s="8">
        <v>702</v>
      </c>
      <c r="J422" s="8">
        <v>0</v>
      </c>
      <c r="K422" s="8">
        <v>0</v>
      </c>
      <c r="L422" s="8">
        <v>3621.15</v>
      </c>
      <c r="M422" s="8">
        <v>2388.9699999999998</v>
      </c>
      <c r="N422" s="8">
        <v>58369.55</v>
      </c>
      <c r="O422" s="8" t="str">
        <f t="shared" si="41"/>
        <v>Not Fraud</v>
      </c>
      <c r="P422" s="8">
        <v>0</v>
      </c>
      <c r="Q422" s="8" t="s">
        <v>1027</v>
      </c>
      <c r="R422" s="8" t="s">
        <v>1026</v>
      </c>
      <c r="S422" s="8">
        <v>1329</v>
      </c>
      <c r="T422" s="8">
        <v>179</v>
      </c>
      <c r="U422" s="8">
        <v>6731.82</v>
      </c>
      <c r="V422" s="8">
        <v>7.2</v>
      </c>
      <c r="W422" s="8">
        <v>7.4</v>
      </c>
      <c r="X422" s="8">
        <v>0</v>
      </c>
      <c r="Y422" s="20" t="str">
        <f t="shared" si="36"/>
        <v>Normal</v>
      </c>
      <c r="Z422" s="20">
        <f t="shared" si="37"/>
        <v>0.77152771449109425</v>
      </c>
      <c r="AA422" s="20">
        <f t="shared" si="38"/>
        <v>-0.87336968940406112</v>
      </c>
      <c r="AB422" s="20">
        <f t="shared" si="39"/>
        <v>-9.57200514323336E-2</v>
      </c>
      <c r="AC422" s="20">
        <f t="shared" si="40"/>
        <v>-0.21347557347711424</v>
      </c>
      <c r="AD422" s="20"/>
    </row>
    <row r="423" spans="1:30" x14ac:dyDescent="0.45">
      <c r="A423" s="8" t="s">
        <v>432</v>
      </c>
      <c r="B423" s="8" t="s">
        <v>922</v>
      </c>
      <c r="C423" s="8">
        <v>57.7</v>
      </c>
      <c r="D423" s="8" t="s">
        <v>1010</v>
      </c>
      <c r="E423" s="8" t="s">
        <v>1012</v>
      </c>
      <c r="F423" s="8" t="s">
        <v>1019</v>
      </c>
      <c r="G423" s="8" t="s">
        <v>1020</v>
      </c>
      <c r="H423" s="8">
        <v>59934.21</v>
      </c>
      <c r="I423" s="8">
        <v>677</v>
      </c>
      <c r="J423" s="8">
        <v>0</v>
      </c>
      <c r="K423" s="8">
        <v>0</v>
      </c>
      <c r="L423" s="8">
        <v>3692.77</v>
      </c>
      <c r="M423" s="8">
        <v>14175.69</v>
      </c>
      <c r="N423" s="8">
        <v>43834.69</v>
      </c>
      <c r="O423" s="8" t="str">
        <f t="shared" si="41"/>
        <v>Fraud</v>
      </c>
      <c r="P423" s="8">
        <v>1</v>
      </c>
      <c r="Q423" s="8" t="s">
        <v>1027</v>
      </c>
      <c r="R423" s="8" t="s">
        <v>1028</v>
      </c>
      <c r="S423" s="8">
        <v>4567</v>
      </c>
      <c r="T423" s="8">
        <v>221</v>
      </c>
      <c r="U423" s="8">
        <v>8511.5300000000007</v>
      </c>
      <c r="V423" s="8">
        <v>2</v>
      </c>
      <c r="W423" s="8">
        <v>9.4</v>
      </c>
      <c r="X423" s="8">
        <v>2375.9499999999998</v>
      </c>
      <c r="Y423" s="20" t="str">
        <f t="shared" si="36"/>
        <v>Normal</v>
      </c>
      <c r="Z423" s="20">
        <f t="shared" si="37"/>
        <v>0.80570500944649337</v>
      </c>
      <c r="AA423" s="20">
        <f t="shared" si="38"/>
        <v>-0.28514829353958643</v>
      </c>
      <c r="AB423" s="20">
        <f t="shared" si="39"/>
        <v>-0.84968544435640314</v>
      </c>
      <c r="AC423" s="20">
        <f t="shared" si="40"/>
        <v>-1.2832590869665865</v>
      </c>
      <c r="AD423" s="20"/>
    </row>
    <row r="424" spans="1:30" x14ac:dyDescent="0.45">
      <c r="A424" s="8" t="s">
        <v>499</v>
      </c>
      <c r="B424" s="8" t="s">
        <v>987</v>
      </c>
      <c r="C424" s="8">
        <v>58.6</v>
      </c>
      <c r="D424" s="8" t="s">
        <v>1009</v>
      </c>
      <c r="E424" s="8" t="s">
        <v>1011</v>
      </c>
      <c r="F424" s="8" t="s">
        <v>1016</v>
      </c>
      <c r="G424" s="8" t="s">
        <v>1023</v>
      </c>
      <c r="H424" s="8">
        <v>61444.36</v>
      </c>
      <c r="I424" s="8">
        <v>558</v>
      </c>
      <c r="J424" s="8">
        <v>1</v>
      </c>
      <c r="K424" s="8">
        <v>1</v>
      </c>
      <c r="L424" s="8">
        <v>3697.15</v>
      </c>
      <c r="M424" s="8">
        <v>15460.91</v>
      </c>
      <c r="N424" s="8">
        <v>39412.57</v>
      </c>
      <c r="O424" s="8" t="str">
        <f t="shared" si="41"/>
        <v>Not Fraud</v>
      </c>
      <c r="P424" s="8">
        <v>0</v>
      </c>
      <c r="Q424" s="8" t="s">
        <v>1026</v>
      </c>
      <c r="R424" s="8" t="s">
        <v>1029</v>
      </c>
      <c r="S424" s="8">
        <v>2453</v>
      </c>
      <c r="T424" s="8">
        <v>231</v>
      </c>
      <c r="U424" s="8">
        <v>7632.3</v>
      </c>
      <c r="V424" s="8">
        <v>2.9</v>
      </c>
      <c r="W424" s="8">
        <v>1.5</v>
      </c>
      <c r="X424" s="8">
        <v>0</v>
      </c>
      <c r="Y424" s="20" t="str">
        <f t="shared" si="36"/>
        <v>Normal</v>
      </c>
      <c r="Z424" s="20">
        <f t="shared" si="37"/>
        <v>0.80779515957082526</v>
      </c>
      <c r="AA424" s="20">
        <f t="shared" si="38"/>
        <v>-0.22100882960110824</v>
      </c>
      <c r="AB424" s="20">
        <f t="shared" si="39"/>
        <v>-1.0790736492209418</v>
      </c>
      <c r="AC424" s="20">
        <f t="shared" si="40"/>
        <v>-1.2198758469087354</v>
      </c>
      <c r="AD424" s="20"/>
    </row>
    <row r="425" spans="1:30" x14ac:dyDescent="0.45">
      <c r="A425" s="8" t="s">
        <v>55</v>
      </c>
      <c r="B425" s="8" t="s">
        <v>555</v>
      </c>
      <c r="C425" s="8">
        <v>49.8</v>
      </c>
      <c r="D425" s="8" t="s">
        <v>1010</v>
      </c>
      <c r="E425" s="8" t="s">
        <v>1012</v>
      </c>
      <c r="F425" s="8" t="s">
        <v>1019</v>
      </c>
      <c r="G425" s="8" t="s">
        <v>1023</v>
      </c>
      <c r="H425" s="8">
        <v>82516.47</v>
      </c>
      <c r="I425" s="8">
        <v>636</v>
      </c>
      <c r="J425" s="8">
        <v>0</v>
      </c>
      <c r="K425" s="8">
        <v>0</v>
      </c>
      <c r="L425" s="8">
        <v>3702.32</v>
      </c>
      <c r="M425" s="8">
        <v>17380.759999999998</v>
      </c>
      <c r="N425" s="8">
        <v>44244.32</v>
      </c>
      <c r="O425" s="8" t="str">
        <f t="shared" si="41"/>
        <v>Not Fraud</v>
      </c>
      <c r="P425" s="8">
        <v>0</v>
      </c>
      <c r="Q425" s="8" t="s">
        <v>1025</v>
      </c>
      <c r="R425" s="8" t="s">
        <v>1029</v>
      </c>
      <c r="S425" s="8">
        <v>3394</v>
      </c>
      <c r="T425" s="8">
        <v>13</v>
      </c>
      <c r="U425" s="8">
        <v>7215.66</v>
      </c>
      <c r="V425" s="8">
        <v>2.5</v>
      </c>
      <c r="W425" s="8">
        <v>2.2000000000000002</v>
      </c>
      <c r="X425" s="8">
        <v>0</v>
      </c>
      <c r="Y425" s="20" t="str">
        <f t="shared" si="36"/>
        <v>Normal</v>
      </c>
      <c r="Z425" s="20">
        <f t="shared" si="37"/>
        <v>0.81026230024269652</v>
      </c>
      <c r="AA425" s="20">
        <f t="shared" si="38"/>
        <v>-0.12519787906945812</v>
      </c>
      <c r="AB425" s="20">
        <f t="shared" si="39"/>
        <v>-0.82843674681796908</v>
      </c>
      <c r="AC425" s="20">
        <f t="shared" si="40"/>
        <v>-0.33544807042597347</v>
      </c>
      <c r="AD425" s="20"/>
    </row>
    <row r="426" spans="1:30" x14ac:dyDescent="0.45">
      <c r="A426" s="8" t="s">
        <v>470</v>
      </c>
      <c r="B426" s="8" t="s">
        <v>959</v>
      </c>
      <c r="C426" s="8">
        <v>35.9</v>
      </c>
      <c r="D426" s="8" t="s">
        <v>1010</v>
      </c>
      <c r="E426" s="8" t="s">
        <v>1014</v>
      </c>
      <c r="F426" s="8" t="s">
        <v>1019</v>
      </c>
      <c r="G426" s="8" t="s">
        <v>1023</v>
      </c>
      <c r="H426" s="8">
        <v>74701.03</v>
      </c>
      <c r="I426" s="8">
        <v>526</v>
      </c>
      <c r="J426" s="8">
        <v>0</v>
      </c>
      <c r="K426" s="8">
        <v>1</v>
      </c>
      <c r="L426" s="8">
        <v>3704.87</v>
      </c>
      <c r="M426" s="8">
        <v>2537.15</v>
      </c>
      <c r="N426" s="8">
        <v>58568.01</v>
      </c>
      <c r="O426" s="8" t="str">
        <f t="shared" si="41"/>
        <v>Not Fraud</v>
      </c>
      <c r="P426" s="8">
        <v>0</v>
      </c>
      <c r="Q426" s="8" t="s">
        <v>1024</v>
      </c>
      <c r="R426" s="8" t="s">
        <v>1026</v>
      </c>
      <c r="S426" s="8">
        <v>4908</v>
      </c>
      <c r="T426" s="8">
        <v>275</v>
      </c>
      <c r="U426" s="8">
        <v>701.05</v>
      </c>
      <c r="V426" s="8">
        <v>1.9</v>
      </c>
      <c r="W426" s="8">
        <v>2.4</v>
      </c>
      <c r="X426" s="8">
        <v>0</v>
      </c>
      <c r="Y426" s="20" t="str">
        <f t="shared" si="36"/>
        <v>Normal</v>
      </c>
      <c r="Z426" s="20">
        <f t="shared" si="37"/>
        <v>0.81147916846576629</v>
      </c>
      <c r="AA426" s="20">
        <f t="shared" si="38"/>
        <v>-0.8659747019572398</v>
      </c>
      <c r="AB426" s="20">
        <f t="shared" si="39"/>
        <v>-8.5425354966064904E-2</v>
      </c>
      <c r="AC426" s="20">
        <f t="shared" si="40"/>
        <v>-0.6634737034278152</v>
      </c>
      <c r="AD426" s="20"/>
    </row>
    <row r="427" spans="1:30" x14ac:dyDescent="0.45">
      <c r="A427" s="8" t="s">
        <v>513</v>
      </c>
      <c r="B427" s="8" t="s">
        <v>999</v>
      </c>
      <c r="C427" s="8">
        <v>49.9</v>
      </c>
      <c r="D427" s="8" t="s">
        <v>1009</v>
      </c>
      <c r="E427" s="8" t="s">
        <v>1013</v>
      </c>
      <c r="F427" s="8" t="s">
        <v>1016</v>
      </c>
      <c r="G427" s="8" t="s">
        <v>1022</v>
      </c>
      <c r="H427" s="8">
        <v>111882.09</v>
      </c>
      <c r="I427" s="8">
        <v>515</v>
      </c>
      <c r="J427" s="8">
        <v>1</v>
      </c>
      <c r="K427" s="8">
        <v>1</v>
      </c>
      <c r="L427" s="8">
        <v>3711.71</v>
      </c>
      <c r="M427" s="8">
        <v>5519.42</v>
      </c>
      <c r="N427" s="8">
        <v>82347.98</v>
      </c>
      <c r="O427" s="8" t="str">
        <f t="shared" si="41"/>
        <v>Not Fraud</v>
      </c>
      <c r="P427" s="8">
        <v>0</v>
      </c>
      <c r="Q427" s="8" t="s">
        <v>1024</v>
      </c>
      <c r="R427" s="8" t="s">
        <v>1026</v>
      </c>
      <c r="S427" s="8">
        <v>4919</v>
      </c>
      <c r="T427" s="8">
        <v>269</v>
      </c>
      <c r="U427" s="8">
        <v>7405.63</v>
      </c>
      <c r="V427" s="8">
        <v>3.8</v>
      </c>
      <c r="W427" s="8">
        <v>6.6</v>
      </c>
      <c r="X427" s="8">
        <v>0</v>
      </c>
      <c r="Y427" s="20" t="str">
        <f t="shared" si="36"/>
        <v>Normal</v>
      </c>
      <c r="Z427" s="20">
        <f t="shared" si="37"/>
        <v>0.81474323852294217</v>
      </c>
      <c r="AA427" s="20">
        <f t="shared" si="38"/>
        <v>-0.71714321853821006</v>
      </c>
      <c r="AB427" s="20">
        <f t="shared" si="39"/>
        <v>1.1481107385891933</v>
      </c>
      <c r="AC427" s="20">
        <f t="shared" si="40"/>
        <v>0.89707064752100563</v>
      </c>
      <c r="AD427" s="20"/>
    </row>
    <row r="428" spans="1:30" x14ac:dyDescent="0.45">
      <c r="A428" s="8" t="s">
        <v>293</v>
      </c>
      <c r="B428" s="8" t="s">
        <v>789</v>
      </c>
      <c r="C428" s="8">
        <v>71.599999999999994</v>
      </c>
      <c r="D428" s="8" t="s">
        <v>1009</v>
      </c>
      <c r="E428" s="8" t="s">
        <v>1014</v>
      </c>
      <c r="F428" s="8" t="s">
        <v>1016</v>
      </c>
      <c r="G428" s="8" t="s">
        <v>1022</v>
      </c>
      <c r="H428" s="8">
        <v>54929.19</v>
      </c>
      <c r="I428" s="8">
        <v>567</v>
      </c>
      <c r="J428" s="8">
        <v>0</v>
      </c>
      <c r="K428" s="8">
        <v>0</v>
      </c>
      <c r="L428" s="8">
        <v>3751.83</v>
      </c>
      <c r="M428" s="8">
        <v>53688.74</v>
      </c>
      <c r="N428" s="8">
        <v>34796.699999999997</v>
      </c>
      <c r="O428" s="8" t="str">
        <f t="shared" si="41"/>
        <v>Fraud</v>
      </c>
      <c r="P428" s="8">
        <v>1</v>
      </c>
      <c r="Q428" s="8" t="s">
        <v>1025</v>
      </c>
      <c r="R428" s="8" t="s">
        <v>1026</v>
      </c>
      <c r="S428" s="8">
        <v>3633</v>
      </c>
      <c r="T428" s="8">
        <v>116</v>
      </c>
      <c r="U428" s="8">
        <v>8966.08</v>
      </c>
      <c r="V428" s="8">
        <v>5.4</v>
      </c>
      <c r="W428" s="8">
        <v>5.0999999999999996</v>
      </c>
      <c r="X428" s="8">
        <v>3220.11</v>
      </c>
      <c r="Y428" s="20" t="str">
        <f t="shared" si="36"/>
        <v>Normal</v>
      </c>
      <c r="Z428" s="20">
        <f t="shared" si="37"/>
        <v>0.83388863189924223</v>
      </c>
      <c r="AA428" s="20">
        <f t="shared" si="38"/>
        <v>1.6867676784918848</v>
      </c>
      <c r="AB428" s="20">
        <f t="shared" si="39"/>
        <v>-1.3185122291753706</v>
      </c>
      <c r="AC428" s="20">
        <f t="shared" si="40"/>
        <v>-1.4933272154004145</v>
      </c>
      <c r="AD428" s="20"/>
    </row>
    <row r="429" spans="1:30" x14ac:dyDescent="0.45">
      <c r="A429" s="8" t="s">
        <v>289</v>
      </c>
      <c r="B429" s="8" t="s">
        <v>785</v>
      </c>
      <c r="C429" s="8">
        <v>74.5</v>
      </c>
      <c r="D429" s="8" t="s">
        <v>1010</v>
      </c>
      <c r="E429" s="8" t="s">
        <v>1015</v>
      </c>
      <c r="F429" s="8" t="s">
        <v>1016</v>
      </c>
      <c r="G429" s="8" t="s">
        <v>1022</v>
      </c>
      <c r="H429" s="8">
        <v>72866.570000000007</v>
      </c>
      <c r="I429" s="8">
        <v>717</v>
      </c>
      <c r="J429" s="8">
        <v>0</v>
      </c>
      <c r="K429" s="8">
        <v>1</v>
      </c>
      <c r="L429" s="8">
        <v>3770.42</v>
      </c>
      <c r="M429" s="8">
        <v>12268.93</v>
      </c>
      <c r="N429" s="8">
        <v>56482.91</v>
      </c>
      <c r="O429" s="8" t="str">
        <f t="shared" si="41"/>
        <v>Not Fraud</v>
      </c>
      <c r="P429" s="8">
        <v>0</v>
      </c>
      <c r="Q429" s="8" t="s">
        <v>1027</v>
      </c>
      <c r="R429" s="8" t="s">
        <v>1029</v>
      </c>
      <c r="S429" s="8">
        <v>2188</v>
      </c>
      <c r="T429" s="8">
        <v>266</v>
      </c>
      <c r="U429" s="8">
        <v>2759.61</v>
      </c>
      <c r="V429" s="8">
        <v>2.4</v>
      </c>
      <c r="W429" s="8">
        <v>4.7</v>
      </c>
      <c r="X429" s="8">
        <v>0</v>
      </c>
      <c r="Y429" s="20" t="str">
        <f t="shared" si="36"/>
        <v>Normal</v>
      </c>
      <c r="Z429" s="20">
        <f t="shared" si="37"/>
        <v>0.8427598398470344</v>
      </c>
      <c r="AA429" s="20">
        <f t="shared" si="38"/>
        <v>-0.38030598191926679</v>
      </c>
      <c r="AB429" s="20">
        <f t="shared" si="39"/>
        <v>-0.19358554644957257</v>
      </c>
      <c r="AC429" s="20">
        <f t="shared" si="40"/>
        <v>-0.74046871621232324</v>
      </c>
      <c r="AD429" s="20"/>
    </row>
    <row r="430" spans="1:30" x14ac:dyDescent="0.45">
      <c r="A430" s="8" t="s">
        <v>208</v>
      </c>
      <c r="B430" s="8" t="s">
        <v>706</v>
      </c>
      <c r="C430" s="8">
        <v>60.7</v>
      </c>
      <c r="D430" s="8" t="s">
        <v>1009</v>
      </c>
      <c r="E430" s="8" t="s">
        <v>1013</v>
      </c>
      <c r="F430" s="8" t="s">
        <v>1016</v>
      </c>
      <c r="G430" s="8" t="s">
        <v>1022</v>
      </c>
      <c r="H430" s="8">
        <v>105005</v>
      </c>
      <c r="I430" s="8">
        <v>705</v>
      </c>
      <c r="J430" s="8">
        <v>1</v>
      </c>
      <c r="K430" s="8">
        <v>1</v>
      </c>
      <c r="L430" s="8">
        <v>3796.01</v>
      </c>
      <c r="M430" s="8">
        <v>8783.73</v>
      </c>
      <c r="N430" s="8">
        <v>78524.31</v>
      </c>
      <c r="O430" s="8" t="str">
        <f t="shared" si="41"/>
        <v>Fraud</v>
      </c>
      <c r="P430" s="8">
        <v>1</v>
      </c>
      <c r="Q430" s="8" t="s">
        <v>1024</v>
      </c>
      <c r="R430" s="8" t="s">
        <v>1026</v>
      </c>
      <c r="S430" s="8">
        <v>171</v>
      </c>
      <c r="T430" s="8">
        <v>117</v>
      </c>
      <c r="U430" s="8">
        <v>4157.99</v>
      </c>
      <c r="V430" s="8">
        <v>4.3</v>
      </c>
      <c r="W430" s="8">
        <v>0.5</v>
      </c>
      <c r="X430" s="8">
        <v>2377.38</v>
      </c>
      <c r="Y430" s="20" t="str">
        <f t="shared" si="36"/>
        <v>Normal</v>
      </c>
      <c r="Z430" s="20">
        <f t="shared" si="37"/>
        <v>0.85497147036795962</v>
      </c>
      <c r="AA430" s="20">
        <f t="shared" si="38"/>
        <v>-0.55423640606329228</v>
      </c>
      <c r="AB430" s="20">
        <f t="shared" si="39"/>
        <v>0.94976587293778869</v>
      </c>
      <c r="AC430" s="20">
        <f t="shared" si="40"/>
        <v>0.60842895870238078</v>
      </c>
      <c r="AD430" s="20"/>
    </row>
    <row r="431" spans="1:30" x14ac:dyDescent="0.45">
      <c r="A431" s="8" t="s">
        <v>496</v>
      </c>
      <c r="B431" s="8" t="s">
        <v>984</v>
      </c>
      <c r="C431" s="8">
        <v>70.5</v>
      </c>
      <c r="D431" s="8" t="s">
        <v>1009</v>
      </c>
      <c r="E431" s="8" t="s">
        <v>1014</v>
      </c>
      <c r="F431" s="8" t="s">
        <v>1019</v>
      </c>
      <c r="G431" s="8" t="s">
        <v>1022</v>
      </c>
      <c r="H431" s="8">
        <v>89409.9</v>
      </c>
      <c r="I431" s="8">
        <v>480</v>
      </c>
      <c r="J431" s="8">
        <v>1</v>
      </c>
      <c r="K431" s="8">
        <v>1</v>
      </c>
      <c r="L431" s="8">
        <v>3814.84</v>
      </c>
      <c r="M431" s="8">
        <v>86696.67</v>
      </c>
      <c r="N431" s="8">
        <v>62867.77</v>
      </c>
      <c r="O431" s="8" t="str">
        <f t="shared" si="41"/>
        <v>Not Fraud</v>
      </c>
      <c r="P431" s="8">
        <v>0</v>
      </c>
      <c r="Q431" s="8" t="s">
        <v>1024</v>
      </c>
      <c r="R431" s="8" t="s">
        <v>1028</v>
      </c>
      <c r="S431" s="8">
        <v>3786</v>
      </c>
      <c r="T431" s="8">
        <v>33</v>
      </c>
      <c r="U431" s="8">
        <v>1143.49</v>
      </c>
      <c r="V431" s="8">
        <v>1</v>
      </c>
      <c r="W431" s="8">
        <v>3.2</v>
      </c>
      <c r="X431" s="8">
        <v>0</v>
      </c>
      <c r="Y431" s="20" t="str">
        <f t="shared" si="36"/>
        <v>Normal</v>
      </c>
      <c r="Z431" s="20">
        <f t="shared" si="37"/>
        <v>0.86395720708968771</v>
      </c>
      <c r="AA431" s="20">
        <f t="shared" si="38"/>
        <v>3.3340428033100591</v>
      </c>
      <c r="AB431" s="20">
        <f t="shared" si="39"/>
        <v>0.13761568140299496</v>
      </c>
      <c r="AC431" s="20">
        <f t="shared" si="40"/>
        <v>-4.6120567520969692E-2</v>
      </c>
      <c r="AD431" s="20"/>
    </row>
    <row r="432" spans="1:30" x14ac:dyDescent="0.45">
      <c r="A432" s="8" t="s">
        <v>87</v>
      </c>
      <c r="B432" s="8" t="s">
        <v>587</v>
      </c>
      <c r="C432" s="8">
        <v>62.2</v>
      </c>
      <c r="D432" s="8" t="s">
        <v>1010</v>
      </c>
      <c r="E432" s="8" t="s">
        <v>1014</v>
      </c>
      <c r="F432" s="8" t="s">
        <v>1019</v>
      </c>
      <c r="G432" s="8" t="s">
        <v>1021</v>
      </c>
      <c r="H432" s="8">
        <v>100764.52</v>
      </c>
      <c r="I432" s="8">
        <v>635</v>
      </c>
      <c r="J432" s="8">
        <v>1</v>
      </c>
      <c r="K432" s="8">
        <v>0</v>
      </c>
      <c r="L432" s="8">
        <v>3815.44</v>
      </c>
      <c r="M432" s="8">
        <v>10693.52</v>
      </c>
      <c r="N432" s="8">
        <v>82521.009999999995</v>
      </c>
      <c r="O432" s="8" t="str">
        <f t="shared" si="41"/>
        <v>Fraud</v>
      </c>
      <c r="P432" s="8">
        <v>1</v>
      </c>
      <c r="Q432" s="8" t="s">
        <v>1026</v>
      </c>
      <c r="R432" s="8" t="s">
        <v>1028</v>
      </c>
      <c r="S432" s="8">
        <v>1407</v>
      </c>
      <c r="T432" s="8">
        <v>167</v>
      </c>
      <c r="U432" s="8">
        <v>5699.52</v>
      </c>
      <c r="V432" s="8">
        <v>4.5999999999999996</v>
      </c>
      <c r="W432" s="8">
        <v>5.3</v>
      </c>
      <c r="X432" s="8">
        <v>3636.32</v>
      </c>
      <c r="Y432" s="20" t="str">
        <f t="shared" si="36"/>
        <v>Normal</v>
      </c>
      <c r="Z432" s="20">
        <f t="shared" si="37"/>
        <v>0.86424352902452761</v>
      </c>
      <c r="AA432" s="20">
        <f t="shared" si="38"/>
        <v>-0.45892750421375178</v>
      </c>
      <c r="AB432" s="20">
        <f t="shared" si="39"/>
        <v>1.1570863071146316</v>
      </c>
      <c r="AC432" s="20">
        <f t="shared" si="40"/>
        <v>0.43044971041544516</v>
      </c>
      <c r="AD432" s="20"/>
    </row>
    <row r="433" spans="1:30" x14ac:dyDescent="0.45">
      <c r="A433" s="8" t="s">
        <v>332</v>
      </c>
      <c r="B433" s="8" t="s">
        <v>828</v>
      </c>
      <c r="C433" s="8">
        <v>47</v>
      </c>
      <c r="D433" s="8" t="s">
        <v>1010</v>
      </c>
      <c r="E433" s="8" t="s">
        <v>1014</v>
      </c>
      <c r="F433" s="8" t="s">
        <v>1016</v>
      </c>
      <c r="G433" s="8" t="s">
        <v>1023</v>
      </c>
      <c r="H433" s="8">
        <v>60719.07</v>
      </c>
      <c r="I433" s="8">
        <v>601</v>
      </c>
      <c r="J433" s="8">
        <v>0</v>
      </c>
      <c r="K433" s="8">
        <v>1</v>
      </c>
      <c r="L433" s="8">
        <v>3828.43</v>
      </c>
      <c r="M433" s="8">
        <v>5285.16</v>
      </c>
      <c r="N433" s="8">
        <v>32736.52</v>
      </c>
      <c r="O433" s="8" t="str">
        <f t="shared" si="41"/>
        <v>Fraud</v>
      </c>
      <c r="P433" s="8">
        <v>1</v>
      </c>
      <c r="Q433" s="8" t="s">
        <v>1026</v>
      </c>
      <c r="R433" s="8" t="s">
        <v>1029</v>
      </c>
      <c r="S433" s="8">
        <v>1142</v>
      </c>
      <c r="T433" s="8">
        <v>294</v>
      </c>
      <c r="U433" s="8">
        <v>4456.62</v>
      </c>
      <c r="V433" s="8">
        <v>5.7</v>
      </c>
      <c r="W433" s="8">
        <v>8.1999999999999993</v>
      </c>
      <c r="X433" s="8">
        <v>1946.61</v>
      </c>
      <c r="Y433" s="20" t="str">
        <f t="shared" si="36"/>
        <v>Normal</v>
      </c>
      <c r="Z433" s="20">
        <f t="shared" si="37"/>
        <v>0.87044239891381314</v>
      </c>
      <c r="AA433" s="20">
        <f t="shared" si="38"/>
        <v>-0.72883406588125477</v>
      </c>
      <c r="AB433" s="20">
        <f t="shared" si="39"/>
        <v>-1.4253797478989294</v>
      </c>
      <c r="AC433" s="20">
        <f t="shared" si="40"/>
        <v>-1.2503173462177835</v>
      </c>
      <c r="AD433" s="20"/>
    </row>
    <row r="434" spans="1:30" x14ac:dyDescent="0.45">
      <c r="A434" s="8" t="s">
        <v>256</v>
      </c>
      <c r="B434" s="8" t="s">
        <v>754</v>
      </c>
      <c r="C434" s="8">
        <v>40.200000000000003</v>
      </c>
      <c r="D434" s="8" t="s">
        <v>1009</v>
      </c>
      <c r="E434" s="8" t="s">
        <v>1012</v>
      </c>
      <c r="F434" s="8" t="s">
        <v>1016</v>
      </c>
      <c r="G434" s="8" t="s">
        <v>1023</v>
      </c>
      <c r="H434" s="8">
        <v>71342.95</v>
      </c>
      <c r="I434" s="8">
        <v>590</v>
      </c>
      <c r="J434" s="8">
        <v>0</v>
      </c>
      <c r="K434" s="8">
        <v>1</v>
      </c>
      <c r="L434" s="8">
        <v>3838.52</v>
      </c>
      <c r="M434" s="8">
        <v>17213.2</v>
      </c>
      <c r="N434" s="8">
        <v>40113.01</v>
      </c>
      <c r="O434" s="8" t="str">
        <f t="shared" si="41"/>
        <v>Fraud</v>
      </c>
      <c r="P434" s="8">
        <v>1</v>
      </c>
      <c r="Q434" s="8" t="s">
        <v>1026</v>
      </c>
      <c r="R434" s="8" t="s">
        <v>1026</v>
      </c>
      <c r="S434" s="8">
        <v>1366</v>
      </c>
      <c r="T434" s="8">
        <v>176</v>
      </c>
      <c r="U434" s="8">
        <v>8820.2099999999991</v>
      </c>
      <c r="V434" s="8">
        <v>3.4</v>
      </c>
      <c r="W434" s="8">
        <v>4.7</v>
      </c>
      <c r="X434" s="8">
        <v>2709.16</v>
      </c>
      <c r="Y434" s="20" t="str">
        <f t="shared" si="36"/>
        <v>Normal</v>
      </c>
      <c r="Z434" s="20">
        <f t="shared" si="37"/>
        <v>0.87525737945137227</v>
      </c>
      <c r="AA434" s="20">
        <f t="shared" si="38"/>
        <v>-0.13356003385815676</v>
      </c>
      <c r="AB434" s="20">
        <f t="shared" si="39"/>
        <v>-1.0427397925604898</v>
      </c>
      <c r="AC434" s="20">
        <f t="shared" si="40"/>
        <v>-0.80441731219083101</v>
      </c>
      <c r="AD434" s="20"/>
    </row>
    <row r="435" spans="1:30" x14ac:dyDescent="0.45">
      <c r="A435" s="8" t="s">
        <v>257</v>
      </c>
      <c r="B435" s="8" t="s">
        <v>755</v>
      </c>
      <c r="C435" s="8">
        <v>82.2</v>
      </c>
      <c r="D435" s="8" t="s">
        <v>1009</v>
      </c>
      <c r="E435" s="8" t="s">
        <v>1012</v>
      </c>
      <c r="F435" s="8" t="s">
        <v>1018</v>
      </c>
      <c r="G435" s="8" t="s">
        <v>1021</v>
      </c>
      <c r="H435" s="8">
        <v>51859.21</v>
      </c>
      <c r="I435" s="8">
        <v>734</v>
      </c>
      <c r="J435" s="8">
        <v>1</v>
      </c>
      <c r="K435" s="8">
        <v>1</v>
      </c>
      <c r="L435" s="8">
        <v>3878.02</v>
      </c>
      <c r="M435" s="8">
        <v>44265.58</v>
      </c>
      <c r="N435" s="8">
        <v>15000</v>
      </c>
      <c r="O435" s="8" t="str">
        <f t="shared" si="41"/>
        <v>Fraud</v>
      </c>
      <c r="P435" s="8">
        <v>1</v>
      </c>
      <c r="Q435" s="8" t="s">
        <v>1027</v>
      </c>
      <c r="R435" s="8" t="s">
        <v>1029</v>
      </c>
      <c r="S435" s="8">
        <v>3167</v>
      </c>
      <c r="T435" s="8">
        <v>126</v>
      </c>
      <c r="U435" s="8">
        <v>4099.8</v>
      </c>
      <c r="V435" s="8">
        <v>6.7</v>
      </c>
      <c r="W435" s="8">
        <v>5.2</v>
      </c>
      <c r="X435" s="8">
        <v>2944.98</v>
      </c>
      <c r="Y435" s="20" t="str">
        <f t="shared" si="36"/>
        <v>Normal</v>
      </c>
      <c r="Z435" s="20">
        <f t="shared" si="37"/>
        <v>0.89410690682833771</v>
      </c>
      <c r="AA435" s="20">
        <f t="shared" si="38"/>
        <v>1.2165007739879785</v>
      </c>
      <c r="AB435" s="20">
        <f t="shared" si="39"/>
        <v>-2.3454245416503392</v>
      </c>
      <c r="AC435" s="20">
        <f t="shared" si="40"/>
        <v>-1.6221788389562213</v>
      </c>
      <c r="AD435" s="20"/>
    </row>
    <row r="436" spans="1:30" x14ac:dyDescent="0.45">
      <c r="A436" s="8" t="s">
        <v>88</v>
      </c>
      <c r="B436" s="8" t="s">
        <v>588</v>
      </c>
      <c r="C436" s="8">
        <v>70.3</v>
      </c>
      <c r="D436" s="8" t="s">
        <v>1009</v>
      </c>
      <c r="E436" s="8" t="s">
        <v>1011</v>
      </c>
      <c r="F436" s="8" t="s">
        <v>1019</v>
      </c>
      <c r="G436" s="8" t="s">
        <v>1020</v>
      </c>
      <c r="H436" s="8">
        <v>78614.009999999995</v>
      </c>
      <c r="I436" s="8">
        <v>520</v>
      </c>
      <c r="J436" s="8">
        <v>0</v>
      </c>
      <c r="K436" s="8">
        <v>1</v>
      </c>
      <c r="L436" s="8">
        <v>3987.11</v>
      </c>
      <c r="M436" s="8">
        <v>63375.95</v>
      </c>
      <c r="N436" s="8">
        <v>58972.13</v>
      </c>
      <c r="O436" s="8" t="str">
        <f t="shared" si="41"/>
        <v>Not Fraud</v>
      </c>
      <c r="P436" s="8">
        <v>0</v>
      </c>
      <c r="Q436" s="8" t="s">
        <v>1027</v>
      </c>
      <c r="R436" s="8" t="s">
        <v>1028</v>
      </c>
      <c r="S436" s="8">
        <v>1979</v>
      </c>
      <c r="T436" s="8">
        <v>207</v>
      </c>
      <c r="U436" s="8">
        <v>7386.13</v>
      </c>
      <c r="V436" s="8">
        <v>2.7</v>
      </c>
      <c r="W436" s="8">
        <v>7.1</v>
      </c>
      <c r="X436" s="8">
        <v>0</v>
      </c>
      <c r="Y436" s="20" t="str">
        <f t="shared" si="36"/>
        <v>Normal</v>
      </c>
      <c r="Z436" s="20">
        <f t="shared" si="37"/>
        <v>0.94616500661449376</v>
      </c>
      <c r="AA436" s="20">
        <f t="shared" si="38"/>
        <v>2.1702121132652819</v>
      </c>
      <c r="AB436" s="20">
        <f t="shared" si="39"/>
        <v>-6.4462477126961432E-2</v>
      </c>
      <c r="AC436" s="20">
        <f t="shared" si="40"/>
        <v>-0.49924011690888026</v>
      </c>
      <c r="AD436" s="20"/>
    </row>
    <row r="437" spans="1:30" x14ac:dyDescent="0.45">
      <c r="A437" s="8" t="s">
        <v>274</v>
      </c>
      <c r="B437" s="8" t="s">
        <v>771</v>
      </c>
      <c r="C437" s="8">
        <v>63.8</v>
      </c>
      <c r="D437" s="8" t="s">
        <v>1010</v>
      </c>
      <c r="E437" s="8" t="s">
        <v>1011</v>
      </c>
      <c r="F437" s="8" t="s">
        <v>1019</v>
      </c>
      <c r="G437" s="8" t="s">
        <v>1020</v>
      </c>
      <c r="H437" s="8">
        <v>94601.11</v>
      </c>
      <c r="I437" s="8">
        <v>685</v>
      </c>
      <c r="J437" s="8">
        <v>1</v>
      </c>
      <c r="K437" s="8">
        <v>0</v>
      </c>
      <c r="L437" s="8">
        <v>4028.74</v>
      </c>
      <c r="M437" s="8">
        <v>1837.66</v>
      </c>
      <c r="N437" s="8">
        <v>48527.96</v>
      </c>
      <c r="O437" s="8" t="str">
        <f t="shared" si="41"/>
        <v>Not Fraud</v>
      </c>
      <c r="P437" s="8">
        <v>0</v>
      </c>
      <c r="Q437" s="8" t="s">
        <v>1027</v>
      </c>
      <c r="R437" s="8" t="s">
        <v>1030</v>
      </c>
      <c r="S437" s="8">
        <v>1775</v>
      </c>
      <c r="T437" s="8">
        <v>259</v>
      </c>
      <c r="U437" s="8">
        <v>4362.99</v>
      </c>
      <c r="V437" s="8">
        <v>5</v>
      </c>
      <c r="W437" s="8">
        <v>10.1</v>
      </c>
      <c r="X437" s="8">
        <v>0</v>
      </c>
      <c r="Y437" s="20" t="str">
        <f t="shared" si="36"/>
        <v>Normal</v>
      </c>
      <c r="Z437" s="20">
        <f t="shared" si="37"/>
        <v>0.96603097686014094</v>
      </c>
      <c r="AA437" s="20">
        <f t="shared" si="38"/>
        <v>-0.90088305510325861</v>
      </c>
      <c r="AB437" s="20">
        <f t="shared" si="39"/>
        <v>-0.60623190165638785</v>
      </c>
      <c r="AC437" s="20">
        <f t="shared" si="40"/>
        <v>0.17176223194975648</v>
      </c>
      <c r="AD437" s="20"/>
    </row>
    <row r="438" spans="1:30" x14ac:dyDescent="0.45">
      <c r="A438" s="8" t="s">
        <v>473</v>
      </c>
      <c r="B438" s="8" t="s">
        <v>962</v>
      </c>
      <c r="C438" s="8">
        <v>49.1</v>
      </c>
      <c r="D438" s="8" t="s">
        <v>1009</v>
      </c>
      <c r="E438" s="8" t="s">
        <v>1012</v>
      </c>
      <c r="F438" s="8" t="s">
        <v>1019</v>
      </c>
      <c r="G438" s="8" t="s">
        <v>1020</v>
      </c>
      <c r="H438" s="8">
        <v>104156.9</v>
      </c>
      <c r="I438" s="8">
        <v>762</v>
      </c>
      <c r="J438" s="8">
        <v>0</v>
      </c>
      <c r="K438" s="8">
        <v>0</v>
      </c>
      <c r="L438" s="8">
        <v>4032.13</v>
      </c>
      <c r="M438" s="8">
        <v>9394.4699999999993</v>
      </c>
      <c r="N438" s="8">
        <v>77807.66</v>
      </c>
      <c r="O438" s="8" t="str">
        <f t="shared" si="41"/>
        <v>Not Fraud</v>
      </c>
      <c r="P438" s="8">
        <v>0</v>
      </c>
      <c r="Q438" s="8" t="s">
        <v>1027</v>
      </c>
      <c r="R438" s="8" t="s">
        <v>1028</v>
      </c>
      <c r="S438" s="8">
        <v>4593</v>
      </c>
      <c r="T438" s="8">
        <v>265</v>
      </c>
      <c r="U438" s="8">
        <v>5556.05</v>
      </c>
      <c r="V438" s="8">
        <v>2.4</v>
      </c>
      <c r="W438" s="8">
        <v>6.4</v>
      </c>
      <c r="X438" s="8">
        <v>0</v>
      </c>
      <c r="Y438" s="20" t="str">
        <f t="shared" si="36"/>
        <v>Normal</v>
      </c>
      <c r="Z438" s="20">
        <f t="shared" si="37"/>
        <v>0.96764869579198698</v>
      </c>
      <c r="AA438" s="20">
        <f t="shared" si="38"/>
        <v>-0.52375716032654196</v>
      </c>
      <c r="AB438" s="20">
        <f t="shared" si="39"/>
        <v>0.91259115650852629</v>
      </c>
      <c r="AC438" s="20">
        <f t="shared" si="40"/>
        <v>0.57283294115904815</v>
      </c>
      <c r="AD438" s="20"/>
    </row>
    <row r="439" spans="1:30" x14ac:dyDescent="0.45">
      <c r="A439" s="8" t="s">
        <v>111</v>
      </c>
      <c r="B439" s="8" t="s">
        <v>611</v>
      </c>
      <c r="C439" s="8">
        <v>42.1</v>
      </c>
      <c r="D439" s="8" t="s">
        <v>1010</v>
      </c>
      <c r="E439" s="8" t="s">
        <v>1012</v>
      </c>
      <c r="F439" s="8" t="s">
        <v>1019</v>
      </c>
      <c r="G439" s="8" t="s">
        <v>1023</v>
      </c>
      <c r="H439" s="8">
        <v>91328.23</v>
      </c>
      <c r="I439" s="8">
        <v>541</v>
      </c>
      <c r="J439" s="8">
        <v>1</v>
      </c>
      <c r="K439" s="8">
        <v>1</v>
      </c>
      <c r="L439" s="8">
        <v>4034.99</v>
      </c>
      <c r="M439" s="8">
        <v>9650.73</v>
      </c>
      <c r="N439" s="8">
        <v>73118.02</v>
      </c>
      <c r="O439" s="8" t="str">
        <f t="shared" si="41"/>
        <v>Not Fraud</v>
      </c>
      <c r="P439" s="8">
        <v>0</v>
      </c>
      <c r="Q439" s="8" t="s">
        <v>1025</v>
      </c>
      <c r="R439" s="8" t="s">
        <v>1028</v>
      </c>
      <c r="S439" s="8">
        <v>2100</v>
      </c>
      <c r="T439" s="8">
        <v>205</v>
      </c>
      <c r="U439" s="8">
        <v>5822.83</v>
      </c>
      <c r="V439" s="8">
        <v>5.2</v>
      </c>
      <c r="W439" s="8">
        <v>1.7</v>
      </c>
      <c r="X439" s="8">
        <v>0</v>
      </c>
      <c r="Y439" s="20" t="str">
        <f t="shared" si="36"/>
        <v>Normal</v>
      </c>
      <c r="Z439" s="20">
        <f t="shared" si="37"/>
        <v>0.96901349701472417</v>
      </c>
      <c r="AA439" s="20">
        <f t="shared" si="38"/>
        <v>-0.51096839340035471</v>
      </c>
      <c r="AB439" s="20">
        <f t="shared" si="39"/>
        <v>0.66932591244890449</v>
      </c>
      <c r="AC439" s="20">
        <f t="shared" si="40"/>
        <v>3.439459382073639E-2</v>
      </c>
      <c r="AD439" s="20"/>
    </row>
    <row r="440" spans="1:30" x14ac:dyDescent="0.45">
      <c r="A440" s="8" t="s">
        <v>521</v>
      </c>
      <c r="B440" s="8" t="s">
        <v>1007</v>
      </c>
      <c r="C440" s="8">
        <v>36.9</v>
      </c>
      <c r="D440" s="8" t="s">
        <v>1010</v>
      </c>
      <c r="E440" s="8" t="s">
        <v>1014</v>
      </c>
      <c r="F440" s="8" t="s">
        <v>1019</v>
      </c>
      <c r="G440" s="8" t="s">
        <v>1023</v>
      </c>
      <c r="H440" s="8">
        <v>87772.78</v>
      </c>
      <c r="I440" s="8">
        <v>667</v>
      </c>
      <c r="J440" s="8">
        <v>1</v>
      </c>
      <c r="K440" s="8">
        <v>0</v>
      </c>
      <c r="L440" s="8">
        <v>4045.72</v>
      </c>
      <c r="M440" s="8">
        <v>41734.15</v>
      </c>
      <c r="N440" s="8">
        <v>66875.759999999995</v>
      </c>
      <c r="O440" s="8" t="str">
        <f t="shared" si="41"/>
        <v>Fraud</v>
      </c>
      <c r="P440" s="8">
        <v>1</v>
      </c>
      <c r="Q440" s="8" t="s">
        <v>1024</v>
      </c>
      <c r="R440" s="8" t="s">
        <v>1026</v>
      </c>
      <c r="S440" s="8">
        <v>4934</v>
      </c>
      <c r="T440" s="8">
        <v>214</v>
      </c>
      <c r="U440" s="8">
        <v>298.07</v>
      </c>
      <c r="V440" s="8">
        <v>4</v>
      </c>
      <c r="W440" s="8">
        <v>3.3</v>
      </c>
      <c r="X440" s="8">
        <v>3736.06</v>
      </c>
      <c r="Y440" s="20" t="str">
        <f t="shared" si="36"/>
        <v>Normal</v>
      </c>
      <c r="Z440" s="20">
        <f t="shared" si="37"/>
        <v>0.97413388761611241</v>
      </c>
      <c r="AA440" s="20">
        <f t="shared" si="38"/>
        <v>1.0901686571536762</v>
      </c>
      <c r="AB440" s="20">
        <f t="shared" si="39"/>
        <v>0.34552176066249524</v>
      </c>
      <c r="AC440" s="20">
        <f t="shared" si="40"/>
        <v>-0.11483292719617332</v>
      </c>
      <c r="AD440" s="20"/>
    </row>
    <row r="441" spans="1:30" x14ac:dyDescent="0.45">
      <c r="A441" s="8" t="s">
        <v>237</v>
      </c>
      <c r="B441" s="8" t="s">
        <v>735</v>
      </c>
      <c r="C441" s="8">
        <v>45.3</v>
      </c>
      <c r="D441" s="8" t="s">
        <v>1009</v>
      </c>
      <c r="E441" s="8" t="s">
        <v>1011</v>
      </c>
      <c r="F441" s="8" t="s">
        <v>1016</v>
      </c>
      <c r="G441" s="8" t="s">
        <v>1020</v>
      </c>
      <c r="H441" s="8">
        <v>76926.009999999995</v>
      </c>
      <c r="I441" s="8">
        <v>640</v>
      </c>
      <c r="J441" s="8">
        <v>1</v>
      </c>
      <c r="K441" s="8">
        <v>0</v>
      </c>
      <c r="L441" s="8">
        <v>4117.62</v>
      </c>
      <c r="M441" s="8">
        <v>6798.73</v>
      </c>
      <c r="N441" s="8">
        <v>28924.82</v>
      </c>
      <c r="O441" s="8" t="str">
        <f t="shared" si="41"/>
        <v>Fraud</v>
      </c>
      <c r="P441" s="8">
        <v>1</v>
      </c>
      <c r="Q441" s="8" t="s">
        <v>1026</v>
      </c>
      <c r="R441" s="8" t="s">
        <v>1028</v>
      </c>
      <c r="S441" s="8">
        <v>1844</v>
      </c>
      <c r="T441" s="8">
        <v>195</v>
      </c>
      <c r="U441" s="8">
        <v>4117.38</v>
      </c>
      <c r="V441" s="8">
        <v>6.8</v>
      </c>
      <c r="W441" s="8">
        <v>2.6</v>
      </c>
      <c r="X441" s="8">
        <v>2820.88</v>
      </c>
      <c r="Y441" s="20" t="str">
        <f t="shared" si="36"/>
        <v>Normal</v>
      </c>
      <c r="Z441" s="20">
        <f t="shared" si="37"/>
        <v>1.008444799474437</v>
      </c>
      <c r="AA441" s="20">
        <f t="shared" si="38"/>
        <v>-0.65329869572411237</v>
      </c>
      <c r="AB441" s="20">
        <f t="shared" si="39"/>
        <v>-1.6231036948931679</v>
      </c>
      <c r="AC441" s="20">
        <f t="shared" si="40"/>
        <v>-0.5700879858077661</v>
      </c>
      <c r="AD441" s="20"/>
    </row>
    <row r="442" spans="1:30" x14ac:dyDescent="0.45">
      <c r="A442" s="8" t="s">
        <v>79</v>
      </c>
      <c r="B442" s="8" t="s">
        <v>579</v>
      </c>
      <c r="C442" s="8">
        <v>37.4</v>
      </c>
      <c r="D442" s="8" t="s">
        <v>1010</v>
      </c>
      <c r="E442" s="8" t="s">
        <v>1013</v>
      </c>
      <c r="F442" s="8" t="s">
        <v>1019</v>
      </c>
      <c r="G442" s="8" t="s">
        <v>1023</v>
      </c>
      <c r="H442" s="8">
        <v>122404.77</v>
      </c>
      <c r="I442" s="8">
        <v>730</v>
      </c>
      <c r="J442" s="8">
        <v>0</v>
      </c>
      <c r="K442" s="8">
        <v>1</v>
      </c>
      <c r="L442" s="8">
        <v>4135.57</v>
      </c>
      <c r="M442" s="8">
        <v>17734.66</v>
      </c>
      <c r="N442" s="8">
        <v>66161.009999999995</v>
      </c>
      <c r="O442" s="8" t="str">
        <f t="shared" si="41"/>
        <v>Not Fraud</v>
      </c>
      <c r="P442" s="8">
        <v>0</v>
      </c>
      <c r="Q442" s="8" t="s">
        <v>1024</v>
      </c>
      <c r="R442" s="8" t="s">
        <v>1026</v>
      </c>
      <c r="S442" s="8">
        <v>2224</v>
      </c>
      <c r="T442" s="8">
        <v>206</v>
      </c>
      <c r="U442" s="8">
        <v>5800.53</v>
      </c>
      <c r="V442" s="8">
        <v>6.8</v>
      </c>
      <c r="W442" s="8">
        <v>3.9</v>
      </c>
      <c r="X442" s="8">
        <v>0</v>
      </c>
      <c r="Y442" s="20" t="str">
        <f t="shared" si="36"/>
        <v>Normal</v>
      </c>
      <c r="Z442" s="20">
        <f t="shared" si="37"/>
        <v>1.0170105973583998</v>
      </c>
      <c r="AA442" s="20">
        <f t="shared" si="38"/>
        <v>-0.10753634541154156</v>
      </c>
      <c r="AB442" s="20">
        <f t="shared" si="39"/>
        <v>0.30844560275024296</v>
      </c>
      <c r="AC442" s="20">
        <f t="shared" si="40"/>
        <v>1.3387231671329305</v>
      </c>
      <c r="AD442" s="20"/>
    </row>
    <row r="443" spans="1:30" x14ac:dyDescent="0.45">
      <c r="A443" s="8" t="s">
        <v>272</v>
      </c>
      <c r="B443" s="8" t="s">
        <v>769</v>
      </c>
      <c r="C443" s="8">
        <v>56.1</v>
      </c>
      <c r="D443" s="8" t="s">
        <v>1010</v>
      </c>
      <c r="E443" s="8" t="s">
        <v>1013</v>
      </c>
      <c r="F443" s="8" t="s">
        <v>1016</v>
      </c>
      <c r="G443" s="8" t="s">
        <v>1021</v>
      </c>
      <c r="H443" s="8">
        <v>106505.91</v>
      </c>
      <c r="I443" s="8">
        <v>770</v>
      </c>
      <c r="J443" s="8">
        <v>1</v>
      </c>
      <c r="K443" s="8">
        <v>1</v>
      </c>
      <c r="L443" s="8">
        <v>4137.84</v>
      </c>
      <c r="M443" s="8">
        <v>19112.11</v>
      </c>
      <c r="N443" s="8">
        <v>71836.28</v>
      </c>
      <c r="O443" s="8" t="str">
        <f t="shared" si="41"/>
        <v>Not Fraud</v>
      </c>
      <c r="P443" s="8">
        <v>0</v>
      </c>
      <c r="Q443" s="8" t="s">
        <v>1027</v>
      </c>
      <c r="R443" s="8" t="s">
        <v>1030</v>
      </c>
      <c r="S443" s="8">
        <v>4435</v>
      </c>
      <c r="T443" s="8">
        <v>59</v>
      </c>
      <c r="U443" s="8">
        <v>8713.93</v>
      </c>
      <c r="V443" s="8">
        <v>4.2</v>
      </c>
      <c r="W443" s="8">
        <v>8.3000000000000007</v>
      </c>
      <c r="X443" s="8">
        <v>0</v>
      </c>
      <c r="Y443" s="20" t="str">
        <f t="shared" si="36"/>
        <v>Normal</v>
      </c>
      <c r="Z443" s="20">
        <f t="shared" si="37"/>
        <v>1.0180938486785445</v>
      </c>
      <c r="AA443" s="20">
        <f t="shared" si="38"/>
        <v>-3.8794103147915947E-2</v>
      </c>
      <c r="AB443" s="20">
        <f t="shared" si="39"/>
        <v>0.60283833687359789</v>
      </c>
      <c r="AC443" s="20">
        <f t="shared" si="40"/>
        <v>0.67142438222668588</v>
      </c>
      <c r="AD443" s="20"/>
    </row>
    <row r="444" spans="1:30" x14ac:dyDescent="0.45">
      <c r="A444" s="8" t="s">
        <v>334</v>
      </c>
      <c r="B444" s="8" t="s">
        <v>830</v>
      </c>
      <c r="C444" s="8">
        <v>66.5</v>
      </c>
      <c r="D444" s="8" t="s">
        <v>1010</v>
      </c>
      <c r="E444" s="8" t="s">
        <v>1013</v>
      </c>
      <c r="F444" s="8" t="s">
        <v>1019</v>
      </c>
      <c r="G444" s="8" t="s">
        <v>1021</v>
      </c>
      <c r="H444" s="8">
        <v>98230.86</v>
      </c>
      <c r="I444" s="8">
        <v>500</v>
      </c>
      <c r="J444" s="8">
        <v>0</v>
      </c>
      <c r="K444" s="8">
        <v>1</v>
      </c>
      <c r="L444" s="8">
        <v>4149.2700000000004</v>
      </c>
      <c r="M444" s="8">
        <v>6271.26</v>
      </c>
      <c r="N444" s="8">
        <v>46760.36</v>
      </c>
      <c r="O444" s="8" t="str">
        <f t="shared" si="41"/>
        <v>Fraud</v>
      </c>
      <c r="P444" s="8">
        <v>1</v>
      </c>
      <c r="Q444" s="8" t="s">
        <v>1025</v>
      </c>
      <c r="R444" s="8" t="s">
        <v>1026</v>
      </c>
      <c r="S444" s="8">
        <v>4814</v>
      </c>
      <c r="T444" s="8">
        <v>267</v>
      </c>
      <c r="U444" s="8">
        <v>3520.28</v>
      </c>
      <c r="V444" s="8">
        <v>2.2999999999999998</v>
      </c>
      <c r="W444" s="8">
        <v>5.5</v>
      </c>
      <c r="X444" s="8">
        <v>2642.49</v>
      </c>
      <c r="Y444" s="20" t="str">
        <f t="shared" si="36"/>
        <v>Normal</v>
      </c>
      <c r="Z444" s="20">
        <f t="shared" si="37"/>
        <v>1.0235482815372463</v>
      </c>
      <c r="AA444" s="20">
        <f t="shared" si="38"/>
        <v>-0.67962231583866795</v>
      </c>
      <c r="AB444" s="20">
        <f t="shared" si="39"/>
        <v>-0.69792244621839827</v>
      </c>
      <c r="AC444" s="20">
        <f t="shared" si="40"/>
        <v>0.32410823439983411</v>
      </c>
      <c r="AD444" s="20"/>
    </row>
    <row r="445" spans="1:30" x14ac:dyDescent="0.45">
      <c r="A445" s="8" t="s">
        <v>261</v>
      </c>
      <c r="B445" s="8" t="s">
        <v>759</v>
      </c>
      <c r="C445" s="8">
        <v>40.1</v>
      </c>
      <c r="D445" s="8" t="s">
        <v>1010</v>
      </c>
      <c r="E445" s="8" t="s">
        <v>1014</v>
      </c>
      <c r="F445" s="8" t="s">
        <v>1016</v>
      </c>
      <c r="G445" s="8" t="s">
        <v>1022</v>
      </c>
      <c r="H445" s="8">
        <v>90872.19</v>
      </c>
      <c r="I445" s="8">
        <v>689</v>
      </c>
      <c r="J445" s="8">
        <v>0</v>
      </c>
      <c r="K445" s="8">
        <v>1</v>
      </c>
      <c r="L445" s="8">
        <v>4155.1400000000003</v>
      </c>
      <c r="M445" s="8">
        <v>27714.68</v>
      </c>
      <c r="N445" s="8">
        <v>59614.79</v>
      </c>
      <c r="O445" s="8" t="str">
        <f t="shared" si="41"/>
        <v>Fraud</v>
      </c>
      <c r="P445" s="8">
        <v>1</v>
      </c>
      <c r="Q445" s="8" t="s">
        <v>1025</v>
      </c>
      <c r="R445" s="8" t="s">
        <v>1029</v>
      </c>
      <c r="S445" s="8">
        <v>1186</v>
      </c>
      <c r="T445" s="8">
        <v>275</v>
      </c>
      <c r="U445" s="8">
        <v>4028.72</v>
      </c>
      <c r="V445" s="8">
        <v>3.2</v>
      </c>
      <c r="W445" s="8">
        <v>3.7</v>
      </c>
      <c r="X445" s="8">
        <v>3003.08</v>
      </c>
      <c r="Y445" s="20" t="str">
        <f t="shared" si="36"/>
        <v>Normal</v>
      </c>
      <c r="Z445" s="20">
        <f t="shared" si="37"/>
        <v>1.0263494644664308</v>
      </c>
      <c r="AA445" s="20">
        <f t="shared" si="38"/>
        <v>0.39052089995912775</v>
      </c>
      <c r="AB445" s="20">
        <f t="shared" si="39"/>
        <v>-3.1125836841703423E-2</v>
      </c>
      <c r="AC445" s="20">
        <f t="shared" si="40"/>
        <v>1.5253917201869409E-2</v>
      </c>
      <c r="AD445" s="20"/>
    </row>
    <row r="446" spans="1:30" x14ac:dyDescent="0.45">
      <c r="A446" s="8" t="s">
        <v>378</v>
      </c>
      <c r="B446" s="8" t="s">
        <v>873</v>
      </c>
      <c r="C446" s="8">
        <v>35</v>
      </c>
      <c r="D446" s="8" t="s">
        <v>1010</v>
      </c>
      <c r="E446" s="8" t="s">
        <v>1012</v>
      </c>
      <c r="F446" s="8" t="s">
        <v>1019</v>
      </c>
      <c r="G446" s="8" t="s">
        <v>1022</v>
      </c>
      <c r="H446" s="8">
        <v>116536.01</v>
      </c>
      <c r="I446" s="8">
        <v>725</v>
      </c>
      <c r="J446" s="8">
        <v>1</v>
      </c>
      <c r="K446" s="8">
        <v>0</v>
      </c>
      <c r="L446" s="8">
        <v>4173.87</v>
      </c>
      <c r="M446" s="8">
        <v>2824.06</v>
      </c>
      <c r="N446" s="8">
        <v>73726.37</v>
      </c>
      <c r="O446" s="8" t="str">
        <f t="shared" si="41"/>
        <v>Not Fraud</v>
      </c>
      <c r="P446" s="8">
        <v>0</v>
      </c>
      <c r="Q446" s="8" t="s">
        <v>1024</v>
      </c>
      <c r="R446" s="8" t="s">
        <v>1029</v>
      </c>
      <c r="S446" s="8">
        <v>2423</v>
      </c>
      <c r="T446" s="8">
        <v>125</v>
      </c>
      <c r="U446" s="8">
        <v>6158.75</v>
      </c>
      <c r="V446" s="8">
        <v>0.5</v>
      </c>
      <c r="W446" s="8">
        <v>3.6</v>
      </c>
      <c r="X446" s="8">
        <v>0</v>
      </c>
      <c r="Y446" s="20" t="str">
        <f t="shared" si="36"/>
        <v>Normal</v>
      </c>
      <c r="Z446" s="20">
        <f t="shared" si="37"/>
        <v>1.0352874808656853</v>
      </c>
      <c r="AA446" s="20">
        <f t="shared" si="38"/>
        <v>-0.85165633342999247</v>
      </c>
      <c r="AB446" s="20">
        <f t="shared" si="39"/>
        <v>0.70088279340856641</v>
      </c>
      <c r="AC446" s="20">
        <f t="shared" si="40"/>
        <v>1.0924025871098106</v>
      </c>
      <c r="AD446" s="20"/>
    </row>
    <row r="447" spans="1:30" x14ac:dyDescent="0.45">
      <c r="A447" s="8" t="s">
        <v>178</v>
      </c>
      <c r="B447" s="8" t="s">
        <v>676</v>
      </c>
      <c r="C447" s="8">
        <v>39.299999999999997</v>
      </c>
      <c r="D447" s="8" t="s">
        <v>1009</v>
      </c>
      <c r="E447" s="8" t="s">
        <v>1013</v>
      </c>
      <c r="F447" s="8" t="s">
        <v>1019</v>
      </c>
      <c r="G447" s="8" t="s">
        <v>1021</v>
      </c>
      <c r="H447" s="8">
        <v>55442.49</v>
      </c>
      <c r="I447" s="8">
        <v>633</v>
      </c>
      <c r="J447" s="8">
        <v>0</v>
      </c>
      <c r="K447" s="8">
        <v>1</v>
      </c>
      <c r="L447" s="8">
        <v>4230.4399999999996</v>
      </c>
      <c r="M447" s="8">
        <v>10194.280000000001</v>
      </c>
      <c r="N447" s="8">
        <v>24618.48</v>
      </c>
      <c r="O447" s="8" t="str">
        <f t="shared" si="41"/>
        <v>Fraud</v>
      </c>
      <c r="P447" s="8">
        <v>1</v>
      </c>
      <c r="Q447" s="8" t="s">
        <v>1026</v>
      </c>
      <c r="R447" s="8" t="s">
        <v>1030</v>
      </c>
      <c r="S447" s="8">
        <v>4037</v>
      </c>
      <c r="T447" s="8">
        <v>204</v>
      </c>
      <c r="U447" s="8">
        <v>6328.4</v>
      </c>
      <c r="V447" s="8">
        <v>4.5</v>
      </c>
      <c r="W447" s="8">
        <v>9.6999999999999993</v>
      </c>
      <c r="X447" s="8">
        <v>2995.4</v>
      </c>
      <c r="Y447" s="20" t="str">
        <f t="shared" si="36"/>
        <v>Normal</v>
      </c>
      <c r="Z447" s="20">
        <f t="shared" si="37"/>
        <v>1.0622828672888482</v>
      </c>
      <c r="AA447" s="20">
        <f t="shared" si="38"/>
        <v>-0.48384229388139299</v>
      </c>
      <c r="AB447" s="20">
        <f t="shared" si="39"/>
        <v>-1.8464860549685063</v>
      </c>
      <c r="AC447" s="20">
        <f t="shared" si="40"/>
        <v>-1.4717832514751787</v>
      </c>
      <c r="AD447" s="20"/>
    </row>
    <row r="448" spans="1:30" x14ac:dyDescent="0.45">
      <c r="A448" s="8" t="s">
        <v>71</v>
      </c>
      <c r="B448" s="8" t="s">
        <v>571</v>
      </c>
      <c r="C448" s="8">
        <v>55.2</v>
      </c>
      <c r="D448" s="8" t="s">
        <v>1010</v>
      </c>
      <c r="E448" s="8" t="s">
        <v>1013</v>
      </c>
      <c r="F448" s="8" t="s">
        <v>1016</v>
      </c>
      <c r="G448" s="8" t="s">
        <v>1020</v>
      </c>
      <c r="H448" s="8">
        <v>80340.509999999995</v>
      </c>
      <c r="I448" s="8">
        <v>579</v>
      </c>
      <c r="J448" s="8">
        <v>0</v>
      </c>
      <c r="K448" s="8">
        <v>0</v>
      </c>
      <c r="L448" s="8">
        <v>4353.59</v>
      </c>
      <c r="M448" s="8">
        <v>18298.89</v>
      </c>
      <c r="N448" s="8">
        <v>50693.79</v>
      </c>
      <c r="O448" s="8" t="str">
        <f t="shared" si="41"/>
        <v>Not Fraud</v>
      </c>
      <c r="P448" s="8">
        <v>0</v>
      </c>
      <c r="Q448" s="8" t="s">
        <v>1026</v>
      </c>
      <c r="R448" s="8" t="s">
        <v>1030</v>
      </c>
      <c r="S448" s="8">
        <v>2989</v>
      </c>
      <c r="T448" s="8">
        <v>31</v>
      </c>
      <c r="U448" s="8">
        <v>9863.42</v>
      </c>
      <c r="V448" s="8">
        <v>2.6</v>
      </c>
      <c r="W448" s="8">
        <v>2.8</v>
      </c>
      <c r="X448" s="8">
        <v>0</v>
      </c>
      <c r="Y448" s="20" t="str">
        <f t="shared" si="36"/>
        <v>Normal</v>
      </c>
      <c r="Z448" s="20">
        <f t="shared" si="37"/>
        <v>1.1210504444147547</v>
      </c>
      <c r="AA448" s="20">
        <f t="shared" si="38"/>
        <v>-7.9378201484425925E-2</v>
      </c>
      <c r="AB448" s="20">
        <f t="shared" si="39"/>
        <v>-0.49388401065800608</v>
      </c>
      <c r="AC448" s="20">
        <f t="shared" si="40"/>
        <v>-0.42677634578688589</v>
      </c>
      <c r="AD448" s="20"/>
    </row>
    <row r="449" spans="1:30" x14ac:dyDescent="0.45">
      <c r="A449" s="8" t="s">
        <v>164</v>
      </c>
      <c r="B449" s="8" t="s">
        <v>662</v>
      </c>
      <c r="C449" s="8">
        <v>69.599999999999994</v>
      </c>
      <c r="D449" s="8" t="s">
        <v>1009</v>
      </c>
      <c r="E449" s="8" t="s">
        <v>1013</v>
      </c>
      <c r="F449" s="8" t="s">
        <v>1019</v>
      </c>
      <c r="G449" s="8" t="s">
        <v>1022</v>
      </c>
      <c r="H449" s="8">
        <v>100917.31</v>
      </c>
      <c r="I449" s="8">
        <v>619</v>
      </c>
      <c r="J449" s="8">
        <v>1</v>
      </c>
      <c r="K449" s="8">
        <v>1</v>
      </c>
      <c r="L449" s="8">
        <v>4459.95</v>
      </c>
      <c r="M449" s="8">
        <v>31941.7</v>
      </c>
      <c r="N449" s="8">
        <v>63676.99</v>
      </c>
      <c r="O449" s="8" t="str">
        <f t="shared" si="41"/>
        <v>Not Fraud</v>
      </c>
      <c r="P449" s="8">
        <v>0</v>
      </c>
      <c r="Q449" s="8" t="s">
        <v>1024</v>
      </c>
      <c r="R449" s="8" t="s">
        <v>1026</v>
      </c>
      <c r="S449" s="8">
        <v>4979</v>
      </c>
      <c r="T449" s="8">
        <v>247</v>
      </c>
      <c r="U449" s="8">
        <v>7881.43</v>
      </c>
      <c r="V449" s="8">
        <v>5.4</v>
      </c>
      <c r="W449" s="8">
        <v>8.6999999999999993</v>
      </c>
      <c r="X449" s="8">
        <v>0</v>
      </c>
      <c r="Y449" s="20" t="str">
        <f t="shared" si="36"/>
        <v>Normal</v>
      </c>
      <c r="Z449" s="20">
        <f t="shared" si="37"/>
        <v>1.1718057793973886</v>
      </c>
      <c r="AA449" s="20">
        <f t="shared" si="38"/>
        <v>0.60147217433800948</v>
      </c>
      <c r="AB449" s="20">
        <f t="shared" si="39"/>
        <v>0.17959227252681839</v>
      </c>
      <c r="AC449" s="20">
        <f t="shared" si="40"/>
        <v>0.43686253380943824</v>
      </c>
      <c r="AD449" s="20"/>
    </row>
    <row r="450" spans="1:30" x14ac:dyDescent="0.45">
      <c r="A450" s="8" t="s">
        <v>474</v>
      </c>
      <c r="B450" s="8" t="s">
        <v>963</v>
      </c>
      <c r="C450" s="8">
        <v>64.3</v>
      </c>
      <c r="D450" s="8" t="s">
        <v>1010</v>
      </c>
      <c r="E450" s="8" t="s">
        <v>1014</v>
      </c>
      <c r="F450" s="8" t="s">
        <v>1017</v>
      </c>
      <c r="G450" s="8" t="s">
        <v>1020</v>
      </c>
      <c r="H450" s="8">
        <v>97006.53</v>
      </c>
      <c r="I450" s="8">
        <v>543</v>
      </c>
      <c r="J450" s="8">
        <v>0</v>
      </c>
      <c r="K450" s="8">
        <v>0</v>
      </c>
      <c r="L450" s="8">
        <v>4488.12</v>
      </c>
      <c r="M450" s="8">
        <v>19421.84</v>
      </c>
      <c r="N450" s="8">
        <v>71504.100000000006</v>
      </c>
      <c r="O450" s="8" t="str">
        <f t="shared" si="41"/>
        <v>Fraud</v>
      </c>
      <c r="P450" s="8">
        <v>1</v>
      </c>
      <c r="Q450" s="8" t="s">
        <v>1027</v>
      </c>
      <c r="R450" s="8" t="s">
        <v>1029</v>
      </c>
      <c r="S450" s="8">
        <v>895</v>
      </c>
      <c r="T450" s="8">
        <v>9</v>
      </c>
      <c r="U450" s="8">
        <v>7306.86</v>
      </c>
      <c r="V450" s="8">
        <v>3</v>
      </c>
      <c r="W450" s="8">
        <v>3.1</v>
      </c>
      <c r="X450" s="8">
        <v>4162.93</v>
      </c>
      <c r="Y450" s="20" t="str">
        <f t="shared" ref="Y450:Y501" si="42">IF(OR(L450&lt;$AF$10,L450&gt;$AF$11),"Outlier","Normal")</f>
        <v>Normal</v>
      </c>
      <c r="Z450" s="20">
        <f t="shared" ref="Z450:Z501" si="43">(L450-$AK$9)/$AM$9</f>
        <v>1.1852485942381257</v>
      </c>
      <c r="AA450" s="20">
        <f t="shared" ref="AA450:AA501" si="44">(M450-$AK$6)/$AM$6</f>
        <v>-2.3336892580336208E-2</v>
      </c>
      <c r="AB450" s="20">
        <f t="shared" ref="AB450:AB501" si="45">(N450-$AK$3)/$AM$3</f>
        <v>0.58560719572593556</v>
      </c>
      <c r="AC450" s="20">
        <f t="shared" ref="AC450:AC501" si="46">(H450-$AK$4)/$AM$4</f>
        <v>0.27272128456039507</v>
      </c>
      <c r="AD450" s="20"/>
    </row>
    <row r="451" spans="1:30" x14ac:dyDescent="0.45">
      <c r="A451" s="8" t="s">
        <v>200</v>
      </c>
      <c r="B451" s="8" t="s">
        <v>698</v>
      </c>
      <c r="C451" s="8">
        <v>71.8</v>
      </c>
      <c r="D451" s="8" t="s">
        <v>1010</v>
      </c>
      <c r="E451" s="8" t="s">
        <v>1013</v>
      </c>
      <c r="F451" s="8" t="s">
        <v>1016</v>
      </c>
      <c r="G451" s="8" t="s">
        <v>1023</v>
      </c>
      <c r="H451" s="8">
        <v>88537.87</v>
      </c>
      <c r="I451" s="8">
        <v>623</v>
      </c>
      <c r="J451" s="8">
        <v>0</v>
      </c>
      <c r="K451" s="8">
        <v>1</v>
      </c>
      <c r="L451" s="8">
        <v>4556.42</v>
      </c>
      <c r="M451" s="8">
        <v>10083.65</v>
      </c>
      <c r="N451" s="8">
        <v>57252.56</v>
      </c>
      <c r="O451" s="8" t="str">
        <f t="shared" ref="O451:O501" si="47">IF(P451=1, "Fraud", "Not Fraud")</f>
        <v>Fraud</v>
      </c>
      <c r="P451" s="8">
        <v>1</v>
      </c>
      <c r="Q451" s="8" t="s">
        <v>1024</v>
      </c>
      <c r="R451" s="8" t="s">
        <v>1029</v>
      </c>
      <c r="S451" s="8">
        <v>1495</v>
      </c>
      <c r="T451" s="8">
        <v>247</v>
      </c>
      <c r="U451" s="8">
        <v>6708.7</v>
      </c>
      <c r="V451" s="8">
        <v>8.6999999999999993</v>
      </c>
      <c r="W451" s="8">
        <v>5.0999999999999996</v>
      </c>
      <c r="X451" s="8">
        <v>3512.07</v>
      </c>
      <c r="Y451" s="20" t="str">
        <f t="shared" si="42"/>
        <v>Normal</v>
      </c>
      <c r="Z451" s="20">
        <f t="shared" si="43"/>
        <v>1.2178415744874103</v>
      </c>
      <c r="AA451" s="20">
        <f t="shared" si="44"/>
        <v>-0.48936333222153239</v>
      </c>
      <c r="AB451" s="20">
        <f t="shared" si="45"/>
        <v>-0.1536615661247531</v>
      </c>
      <c r="AC451" s="20">
        <f t="shared" si="46"/>
        <v>-8.2720962731808179E-2</v>
      </c>
      <c r="AD451" s="20"/>
    </row>
    <row r="452" spans="1:30" x14ac:dyDescent="0.45">
      <c r="A452" s="8" t="s">
        <v>338</v>
      </c>
      <c r="B452" s="8" t="s">
        <v>834</v>
      </c>
      <c r="C452" s="8">
        <v>50.3</v>
      </c>
      <c r="D452" s="8" t="s">
        <v>1010</v>
      </c>
      <c r="E452" s="8" t="s">
        <v>1014</v>
      </c>
      <c r="F452" s="8" t="s">
        <v>1016</v>
      </c>
      <c r="G452" s="8" t="s">
        <v>1020</v>
      </c>
      <c r="H452" s="8">
        <v>119691.45</v>
      </c>
      <c r="I452" s="8">
        <v>685</v>
      </c>
      <c r="J452" s="8">
        <v>0</v>
      </c>
      <c r="K452" s="8">
        <v>1</v>
      </c>
      <c r="L452" s="8">
        <v>4727.04</v>
      </c>
      <c r="M452" s="8">
        <v>9248.08</v>
      </c>
      <c r="N452" s="8">
        <v>69757.45</v>
      </c>
      <c r="O452" s="8" t="str">
        <f t="shared" si="47"/>
        <v>Fraud</v>
      </c>
      <c r="P452" s="8">
        <v>1</v>
      </c>
      <c r="Q452" s="8" t="s">
        <v>1025</v>
      </c>
      <c r="R452" s="8" t="s">
        <v>1029</v>
      </c>
      <c r="S452" s="8">
        <v>4568</v>
      </c>
      <c r="T452" s="8">
        <v>61</v>
      </c>
      <c r="U452" s="8">
        <v>5636.93</v>
      </c>
      <c r="V452" s="8">
        <v>5.9</v>
      </c>
      <c r="W452" s="8">
        <v>8.1999999999999993</v>
      </c>
      <c r="X452" s="8">
        <v>3568.76</v>
      </c>
      <c r="Y452" s="20" t="str">
        <f t="shared" si="42"/>
        <v>Normal</v>
      </c>
      <c r="Z452" s="20">
        <f t="shared" si="43"/>
        <v>1.2992619886914063</v>
      </c>
      <c r="AA452" s="20">
        <f t="shared" si="44"/>
        <v>-0.53106281704364389</v>
      </c>
      <c r="AB452" s="20">
        <f t="shared" si="45"/>
        <v>0.49500338849622488</v>
      </c>
      <c r="AC452" s="20">
        <f t="shared" si="46"/>
        <v>1.224841093886055</v>
      </c>
      <c r="AD452" s="20"/>
    </row>
    <row r="453" spans="1:30" x14ac:dyDescent="0.45">
      <c r="A453" s="8" t="s">
        <v>201</v>
      </c>
      <c r="B453" s="8" t="s">
        <v>699</v>
      </c>
      <c r="C453" s="8">
        <v>46</v>
      </c>
      <c r="D453" s="8" t="s">
        <v>1009</v>
      </c>
      <c r="E453" s="8" t="s">
        <v>1012</v>
      </c>
      <c r="F453" s="8" t="s">
        <v>1019</v>
      </c>
      <c r="G453" s="8" t="s">
        <v>1023</v>
      </c>
      <c r="H453" s="8">
        <v>83927.93</v>
      </c>
      <c r="I453" s="8">
        <v>643</v>
      </c>
      <c r="J453" s="8">
        <v>1</v>
      </c>
      <c r="K453" s="8">
        <v>1</v>
      </c>
      <c r="L453" s="8">
        <v>4766.75</v>
      </c>
      <c r="M453" s="8">
        <v>2854.55</v>
      </c>
      <c r="N453" s="8">
        <v>67809.3</v>
      </c>
      <c r="O453" s="8" t="str">
        <f t="shared" si="47"/>
        <v>Not Fraud</v>
      </c>
      <c r="P453" s="8">
        <v>0</v>
      </c>
      <c r="Q453" s="8" t="s">
        <v>1027</v>
      </c>
      <c r="R453" s="8" t="s">
        <v>1028</v>
      </c>
      <c r="S453" s="8">
        <v>2617</v>
      </c>
      <c r="T453" s="8">
        <v>159</v>
      </c>
      <c r="U453" s="8">
        <v>3190.34</v>
      </c>
      <c r="V453" s="8">
        <v>1.9</v>
      </c>
      <c r="W453" s="8">
        <v>2.7</v>
      </c>
      <c r="X453" s="8">
        <v>0</v>
      </c>
      <c r="Y453" s="20" t="str">
        <f t="shared" si="42"/>
        <v>Normal</v>
      </c>
      <c r="Z453" s="20">
        <f t="shared" si="43"/>
        <v>1.3182117287455659</v>
      </c>
      <c r="AA453" s="20">
        <f t="shared" si="44"/>
        <v>-0.85013471669862817</v>
      </c>
      <c r="AB453" s="20">
        <f t="shared" si="45"/>
        <v>0.39394719117302934</v>
      </c>
      <c r="AC453" s="20">
        <f t="shared" si="46"/>
        <v>-0.2762069963525014</v>
      </c>
      <c r="AD453" s="20"/>
    </row>
    <row r="454" spans="1:30" x14ac:dyDescent="0.45">
      <c r="A454" s="8" t="s">
        <v>466</v>
      </c>
      <c r="B454" s="8" t="s">
        <v>955</v>
      </c>
      <c r="C454" s="8">
        <v>48.7</v>
      </c>
      <c r="D454" s="8" t="s">
        <v>1009</v>
      </c>
      <c r="E454" s="8" t="s">
        <v>1014</v>
      </c>
      <c r="F454" s="8" t="s">
        <v>1016</v>
      </c>
      <c r="G454" s="8" t="s">
        <v>1023</v>
      </c>
      <c r="H454" s="8">
        <v>81327.95</v>
      </c>
      <c r="I454" s="8">
        <v>603</v>
      </c>
      <c r="J454" s="8">
        <v>0</v>
      </c>
      <c r="K454" s="8">
        <v>0</v>
      </c>
      <c r="L454" s="8">
        <v>4845.93</v>
      </c>
      <c r="M454" s="8">
        <v>1399.97</v>
      </c>
      <c r="N454" s="8">
        <v>52258.01</v>
      </c>
      <c r="O454" s="8" t="str">
        <f t="shared" si="47"/>
        <v>Fraud</v>
      </c>
      <c r="P454" s="8">
        <v>1</v>
      </c>
      <c r="Q454" s="8" t="s">
        <v>1024</v>
      </c>
      <c r="R454" s="8" t="s">
        <v>1030</v>
      </c>
      <c r="S454" s="8">
        <v>4317</v>
      </c>
      <c r="T454" s="8">
        <v>68</v>
      </c>
      <c r="U454" s="8">
        <v>2101.12</v>
      </c>
      <c r="V454" s="8">
        <v>3.5</v>
      </c>
      <c r="W454" s="8">
        <v>0.5</v>
      </c>
      <c r="X454" s="8">
        <v>2866.19</v>
      </c>
      <c r="Y454" s="20" t="str">
        <f t="shared" si="42"/>
        <v>Normal</v>
      </c>
      <c r="Z454" s="20">
        <f t="shared" si="43"/>
        <v>1.355996680079949</v>
      </c>
      <c r="AA454" s="20">
        <f t="shared" si="44"/>
        <v>-0.92272616520988038</v>
      </c>
      <c r="AB454" s="20">
        <f t="shared" si="45"/>
        <v>-0.41274337724841775</v>
      </c>
      <c r="AC454" s="20">
        <f t="shared" si="46"/>
        <v>-0.38533202134049016</v>
      </c>
      <c r="AD454" s="20"/>
    </row>
    <row r="455" spans="1:30" x14ac:dyDescent="0.45">
      <c r="A455" s="8" t="s">
        <v>131</v>
      </c>
      <c r="B455" s="8" t="s">
        <v>629</v>
      </c>
      <c r="C455" s="8">
        <v>53.9</v>
      </c>
      <c r="D455" s="8" t="s">
        <v>1009</v>
      </c>
      <c r="E455" s="8" t="s">
        <v>1014</v>
      </c>
      <c r="F455" s="8" t="s">
        <v>1016</v>
      </c>
      <c r="G455" s="8" t="s">
        <v>1023</v>
      </c>
      <c r="H455" s="8">
        <v>106381.43</v>
      </c>
      <c r="I455" s="8">
        <v>656</v>
      </c>
      <c r="J455" s="8">
        <v>0</v>
      </c>
      <c r="K455" s="8">
        <v>0</v>
      </c>
      <c r="L455" s="8">
        <v>4926.5</v>
      </c>
      <c r="M455" s="8">
        <v>7036.95</v>
      </c>
      <c r="N455" s="8">
        <v>83778.27</v>
      </c>
      <c r="O455" s="8" t="str">
        <f t="shared" si="47"/>
        <v>Not Fraud</v>
      </c>
      <c r="P455" s="8">
        <v>0</v>
      </c>
      <c r="Q455" s="8" t="s">
        <v>1027</v>
      </c>
      <c r="R455" s="8" t="s">
        <v>1028</v>
      </c>
      <c r="S455" s="8">
        <v>2182</v>
      </c>
      <c r="T455" s="8">
        <v>59</v>
      </c>
      <c r="U455" s="8">
        <v>3422.28</v>
      </c>
      <c r="V455" s="8">
        <v>4.5999999999999996</v>
      </c>
      <c r="W455" s="8">
        <v>3.5</v>
      </c>
      <c r="X455" s="8">
        <v>0</v>
      </c>
      <c r="Y455" s="20" t="str">
        <f t="shared" si="42"/>
        <v>Normal</v>
      </c>
      <c r="Z455" s="20">
        <f t="shared" si="43"/>
        <v>1.394444943896711</v>
      </c>
      <c r="AA455" s="20">
        <f t="shared" si="44"/>
        <v>-0.64141022285610194</v>
      </c>
      <c r="AB455" s="20">
        <f t="shared" si="45"/>
        <v>1.2223040340076132</v>
      </c>
      <c r="AC455" s="20">
        <f t="shared" si="46"/>
        <v>0.66619977161025579</v>
      </c>
      <c r="AD455" s="20"/>
    </row>
    <row r="456" spans="1:30" x14ac:dyDescent="0.45">
      <c r="A456" s="8" t="s">
        <v>28</v>
      </c>
      <c r="B456" s="8" t="s">
        <v>528</v>
      </c>
      <c r="C456" s="8">
        <v>46.5</v>
      </c>
      <c r="D456" s="8" t="s">
        <v>1010</v>
      </c>
      <c r="E456" s="8" t="s">
        <v>1013</v>
      </c>
      <c r="F456" s="8" t="s">
        <v>1016</v>
      </c>
      <c r="G456" s="8" t="s">
        <v>1020</v>
      </c>
      <c r="H456" s="8">
        <v>105239.69</v>
      </c>
      <c r="I456" s="8">
        <v>681</v>
      </c>
      <c r="J456" s="8">
        <v>0</v>
      </c>
      <c r="K456" s="8">
        <v>0</v>
      </c>
      <c r="L456" s="8">
        <v>4949.46</v>
      </c>
      <c r="M456" s="8">
        <v>47723.37</v>
      </c>
      <c r="N456" s="8">
        <v>59710.95</v>
      </c>
      <c r="O456" s="8" t="str">
        <f t="shared" si="47"/>
        <v>Fraud</v>
      </c>
      <c r="P456" s="8">
        <v>1</v>
      </c>
      <c r="Q456" s="8" t="s">
        <v>1027</v>
      </c>
      <c r="R456" s="8" t="s">
        <v>1029</v>
      </c>
      <c r="S456" s="8">
        <v>3795</v>
      </c>
      <c r="T456" s="8">
        <v>102</v>
      </c>
      <c r="U456" s="8">
        <v>419.11</v>
      </c>
      <c r="V456" s="8">
        <v>9.3000000000000007</v>
      </c>
      <c r="W456" s="8">
        <v>4</v>
      </c>
      <c r="X456" s="8">
        <v>3430.31</v>
      </c>
      <c r="Y456" s="20" t="str">
        <f t="shared" si="42"/>
        <v>Normal</v>
      </c>
      <c r="Z456" s="20">
        <f t="shared" si="43"/>
        <v>1.4054015299365876</v>
      </c>
      <c r="AA456" s="20">
        <f t="shared" si="44"/>
        <v>1.3890632901422795</v>
      </c>
      <c r="AB456" s="20">
        <f t="shared" si="45"/>
        <v>-2.6137738422896798E-2</v>
      </c>
      <c r="AC456" s="20">
        <f t="shared" si="46"/>
        <v>0.61827924682553226</v>
      </c>
      <c r="AD456" s="20"/>
    </row>
    <row r="457" spans="1:30" x14ac:dyDescent="0.45">
      <c r="A457" s="8" t="s">
        <v>122</v>
      </c>
      <c r="B457" s="8" t="s">
        <v>621</v>
      </c>
      <c r="C457" s="8">
        <v>46.5</v>
      </c>
      <c r="D457" s="8" t="s">
        <v>1009</v>
      </c>
      <c r="E457" s="8" t="s">
        <v>1014</v>
      </c>
      <c r="F457" s="8" t="s">
        <v>1016</v>
      </c>
      <c r="G457" s="8" t="s">
        <v>1022</v>
      </c>
      <c r="H457" s="8">
        <v>95748.02</v>
      </c>
      <c r="I457" s="8">
        <v>673</v>
      </c>
      <c r="J457" s="8">
        <v>1</v>
      </c>
      <c r="K457" s="8">
        <v>1</v>
      </c>
      <c r="L457" s="8">
        <v>4971.96</v>
      </c>
      <c r="M457" s="8">
        <v>998.41</v>
      </c>
      <c r="N457" s="8">
        <v>77247.87</v>
      </c>
      <c r="O457" s="8" t="str">
        <f t="shared" si="47"/>
        <v>Not Fraud</v>
      </c>
      <c r="P457" s="8">
        <v>0</v>
      </c>
      <c r="Q457" s="8" t="s">
        <v>1025</v>
      </c>
      <c r="R457" s="8" t="s">
        <v>1030</v>
      </c>
      <c r="S457" s="8">
        <v>2559</v>
      </c>
      <c r="T457" s="8">
        <v>48</v>
      </c>
      <c r="U457" s="8">
        <v>9284.07</v>
      </c>
      <c r="V457" s="8">
        <v>3.8</v>
      </c>
      <c r="W457" s="8">
        <v>2.7</v>
      </c>
      <c r="X457" s="8">
        <v>0</v>
      </c>
      <c r="Y457" s="20" t="str">
        <f t="shared" si="42"/>
        <v>Normal</v>
      </c>
      <c r="Z457" s="20">
        <f t="shared" si="43"/>
        <v>1.4161386024930869</v>
      </c>
      <c r="AA457" s="20">
        <f t="shared" si="44"/>
        <v>-0.94276619192836852</v>
      </c>
      <c r="AB457" s="20">
        <f t="shared" si="45"/>
        <v>0.88355322375203793</v>
      </c>
      <c r="AC457" s="20">
        <f t="shared" si="46"/>
        <v>0.21989974931872655</v>
      </c>
      <c r="AD457" s="20"/>
    </row>
    <row r="458" spans="1:30" x14ac:dyDescent="0.45">
      <c r="A458" s="8" t="s">
        <v>475</v>
      </c>
      <c r="B458" s="8" t="s">
        <v>964</v>
      </c>
      <c r="C458" s="8">
        <v>35.200000000000003</v>
      </c>
      <c r="D458" s="8" t="s">
        <v>1009</v>
      </c>
      <c r="E458" s="8" t="s">
        <v>1011</v>
      </c>
      <c r="F458" s="8" t="s">
        <v>1019</v>
      </c>
      <c r="G458" s="8" t="s">
        <v>1023</v>
      </c>
      <c r="H458" s="8">
        <v>128575.36</v>
      </c>
      <c r="I458" s="8">
        <v>541</v>
      </c>
      <c r="J458" s="8">
        <v>1</v>
      </c>
      <c r="K458" s="8">
        <v>1</v>
      </c>
      <c r="L458" s="8">
        <v>5046.28</v>
      </c>
      <c r="M458" s="8">
        <v>25367.96</v>
      </c>
      <c r="N458" s="8">
        <v>70013.31</v>
      </c>
      <c r="O458" s="8" t="str">
        <f t="shared" si="47"/>
        <v>Not Fraud</v>
      </c>
      <c r="P458" s="8">
        <v>0</v>
      </c>
      <c r="Q458" s="8" t="s">
        <v>1027</v>
      </c>
      <c r="R458" s="8" t="s">
        <v>1030</v>
      </c>
      <c r="S458" s="8">
        <v>3011</v>
      </c>
      <c r="T458" s="8">
        <v>283</v>
      </c>
      <c r="U458" s="8">
        <v>5333.44</v>
      </c>
      <c r="V458" s="8">
        <v>2.1</v>
      </c>
      <c r="W458" s="8">
        <v>4.7</v>
      </c>
      <c r="X458" s="8">
        <v>0</v>
      </c>
      <c r="Y458" s="20" t="str">
        <f t="shared" si="42"/>
        <v>Normal</v>
      </c>
      <c r="Z458" s="20">
        <f t="shared" si="43"/>
        <v>1.4516043461552659</v>
      </c>
      <c r="AA458" s="20">
        <f t="shared" si="44"/>
        <v>0.2734068161340194</v>
      </c>
      <c r="AB458" s="20">
        <f t="shared" si="45"/>
        <v>0.50827558963428554</v>
      </c>
      <c r="AC458" s="20">
        <f t="shared" si="46"/>
        <v>1.5977120008703569</v>
      </c>
      <c r="AD458" s="20"/>
    </row>
    <row r="459" spans="1:30" x14ac:dyDescent="0.45">
      <c r="A459" s="8" t="s">
        <v>437</v>
      </c>
      <c r="B459" s="8" t="s">
        <v>927</v>
      </c>
      <c r="C459" s="8">
        <v>55</v>
      </c>
      <c r="D459" s="8" t="s">
        <v>1010</v>
      </c>
      <c r="E459" s="8" t="s">
        <v>1013</v>
      </c>
      <c r="F459" s="8" t="s">
        <v>1019</v>
      </c>
      <c r="G459" s="8" t="s">
        <v>1021</v>
      </c>
      <c r="H459" s="8">
        <v>97614.56</v>
      </c>
      <c r="I459" s="8">
        <v>558</v>
      </c>
      <c r="J459" s="8">
        <v>1</v>
      </c>
      <c r="K459" s="8">
        <v>1</v>
      </c>
      <c r="L459" s="8">
        <v>5052.46</v>
      </c>
      <c r="M459" s="8">
        <v>21762.13</v>
      </c>
      <c r="N459" s="8">
        <v>73009</v>
      </c>
      <c r="O459" s="8" t="str">
        <f t="shared" si="47"/>
        <v>Fraud</v>
      </c>
      <c r="P459" s="8">
        <v>1</v>
      </c>
      <c r="Q459" s="8" t="s">
        <v>1024</v>
      </c>
      <c r="R459" s="8" t="s">
        <v>1030</v>
      </c>
      <c r="S459" s="8">
        <v>4694</v>
      </c>
      <c r="T459" s="8">
        <v>87</v>
      </c>
      <c r="U459" s="8">
        <v>537.04</v>
      </c>
      <c r="V459" s="8">
        <v>2.8</v>
      </c>
      <c r="W459" s="8">
        <v>4.5999999999999996</v>
      </c>
      <c r="X459" s="8">
        <v>4621.79</v>
      </c>
      <c r="Y459" s="20" t="str">
        <f t="shared" si="42"/>
        <v>Normal</v>
      </c>
      <c r="Z459" s="20">
        <f t="shared" si="43"/>
        <v>1.4545534620841178</v>
      </c>
      <c r="AA459" s="20">
        <f t="shared" si="44"/>
        <v>9.3456299293880885E-2</v>
      </c>
      <c r="AB459" s="20">
        <f t="shared" si="45"/>
        <v>0.66367072848864728</v>
      </c>
      <c r="AC459" s="20">
        <f t="shared" si="46"/>
        <v>0.29824120738420401</v>
      </c>
      <c r="AD459" s="20"/>
    </row>
    <row r="460" spans="1:30" x14ac:dyDescent="0.45">
      <c r="A460" s="8" t="s">
        <v>347</v>
      </c>
      <c r="B460" s="8" t="s">
        <v>842</v>
      </c>
      <c r="C460" s="8">
        <v>34.9</v>
      </c>
      <c r="D460" s="8" t="s">
        <v>1010</v>
      </c>
      <c r="E460" s="8" t="s">
        <v>1014</v>
      </c>
      <c r="F460" s="8" t="s">
        <v>1016</v>
      </c>
      <c r="G460" s="8" t="s">
        <v>1023</v>
      </c>
      <c r="H460" s="8">
        <v>78467.63</v>
      </c>
      <c r="I460" s="8">
        <v>722</v>
      </c>
      <c r="J460" s="8">
        <v>1</v>
      </c>
      <c r="K460" s="8">
        <v>1</v>
      </c>
      <c r="L460" s="8">
        <v>5135.34</v>
      </c>
      <c r="M460" s="8">
        <v>13317.4</v>
      </c>
      <c r="N460" s="8">
        <v>53738.84</v>
      </c>
      <c r="O460" s="8" t="str">
        <f t="shared" si="47"/>
        <v>Fraud</v>
      </c>
      <c r="P460" s="8">
        <v>1</v>
      </c>
      <c r="Q460" s="8" t="s">
        <v>1025</v>
      </c>
      <c r="R460" s="8" t="s">
        <v>1029</v>
      </c>
      <c r="S460" s="8">
        <v>318</v>
      </c>
      <c r="T460" s="8">
        <v>285</v>
      </c>
      <c r="U460" s="8">
        <v>3463.85</v>
      </c>
      <c r="V460" s="8">
        <v>2.2000000000000002</v>
      </c>
      <c r="W460" s="8">
        <v>4.5</v>
      </c>
      <c r="X460" s="8">
        <v>4936.18</v>
      </c>
      <c r="Y460" s="20" t="str">
        <f t="shared" si="42"/>
        <v>Normal</v>
      </c>
      <c r="Z460" s="20">
        <f t="shared" si="43"/>
        <v>1.4941040653500139</v>
      </c>
      <c r="AA460" s="20">
        <f t="shared" si="44"/>
        <v>-0.32798162985847079</v>
      </c>
      <c r="AB460" s="20">
        <f t="shared" si="45"/>
        <v>-0.33592842527751843</v>
      </c>
      <c r="AC460" s="20">
        <f t="shared" si="46"/>
        <v>-0.50538390307559722</v>
      </c>
      <c r="AD460" s="20"/>
    </row>
    <row r="461" spans="1:30" x14ac:dyDescent="0.45">
      <c r="A461" s="8" t="s">
        <v>146</v>
      </c>
      <c r="B461" s="8" t="s">
        <v>644</v>
      </c>
      <c r="C461" s="8">
        <v>29</v>
      </c>
      <c r="D461" s="8" t="s">
        <v>1009</v>
      </c>
      <c r="E461" s="8" t="s">
        <v>1013</v>
      </c>
      <c r="F461" s="8" t="s">
        <v>1017</v>
      </c>
      <c r="G461" s="8" t="s">
        <v>1023</v>
      </c>
      <c r="H461" s="8">
        <v>92328.42</v>
      </c>
      <c r="I461" s="8">
        <v>526</v>
      </c>
      <c r="J461" s="8">
        <v>0</v>
      </c>
      <c r="K461" s="8">
        <v>0</v>
      </c>
      <c r="L461" s="8">
        <v>5223.26</v>
      </c>
      <c r="M461" s="8">
        <v>83.92</v>
      </c>
      <c r="N461" s="8">
        <v>43658.23</v>
      </c>
      <c r="O461" s="8" t="str">
        <f t="shared" si="47"/>
        <v>Not Fraud</v>
      </c>
      <c r="P461" s="8">
        <v>0</v>
      </c>
      <c r="Q461" s="8" t="s">
        <v>1026</v>
      </c>
      <c r="R461" s="8" t="s">
        <v>1026</v>
      </c>
      <c r="S461" s="8">
        <v>1384</v>
      </c>
      <c r="T461" s="8">
        <v>131</v>
      </c>
      <c r="U461" s="8">
        <v>9214.98</v>
      </c>
      <c r="V461" s="8">
        <v>5.3</v>
      </c>
      <c r="W461" s="8">
        <v>2.2000000000000002</v>
      </c>
      <c r="X461" s="8">
        <v>0</v>
      </c>
      <c r="Y461" s="20" t="str">
        <f t="shared" si="42"/>
        <v>Normal</v>
      </c>
      <c r="Z461" s="20">
        <f t="shared" si="43"/>
        <v>1.5360597728685659</v>
      </c>
      <c r="AA461" s="20">
        <f t="shared" si="44"/>
        <v>-0.98840421372782628</v>
      </c>
      <c r="AB461" s="20">
        <f t="shared" si="45"/>
        <v>-0.85883893694149727</v>
      </c>
      <c r="AC461" s="20">
        <f t="shared" si="46"/>
        <v>7.6374054717642095E-2</v>
      </c>
      <c r="AD461" s="20"/>
    </row>
    <row r="462" spans="1:30" x14ac:dyDescent="0.45">
      <c r="A462" s="8" t="s">
        <v>506</v>
      </c>
      <c r="B462" s="8" t="s">
        <v>994</v>
      </c>
      <c r="C462" s="8">
        <v>53.1</v>
      </c>
      <c r="D462" s="8" t="s">
        <v>1010</v>
      </c>
      <c r="E462" s="8" t="s">
        <v>1013</v>
      </c>
      <c r="F462" s="8" t="s">
        <v>1016</v>
      </c>
      <c r="G462" s="8" t="s">
        <v>1020</v>
      </c>
      <c r="H462" s="8">
        <v>42552.63</v>
      </c>
      <c r="I462" s="8">
        <v>664</v>
      </c>
      <c r="J462" s="8">
        <v>0</v>
      </c>
      <c r="K462" s="8">
        <v>1</v>
      </c>
      <c r="L462" s="8">
        <v>5272.55</v>
      </c>
      <c r="M462" s="8">
        <v>10332.879999999999</v>
      </c>
      <c r="N462" s="8">
        <v>25852.84</v>
      </c>
      <c r="O462" s="8" t="str">
        <f t="shared" si="47"/>
        <v>Not Fraud</v>
      </c>
      <c r="P462" s="8">
        <v>0</v>
      </c>
      <c r="Q462" s="8" t="s">
        <v>1024</v>
      </c>
      <c r="R462" s="8" t="s">
        <v>1028</v>
      </c>
      <c r="S462" s="8">
        <v>4833</v>
      </c>
      <c r="T462" s="8">
        <v>150</v>
      </c>
      <c r="U462" s="8">
        <v>6270.32</v>
      </c>
      <c r="V462" s="8">
        <v>2.5</v>
      </c>
      <c r="W462" s="8">
        <v>4</v>
      </c>
      <c r="X462" s="8">
        <v>0</v>
      </c>
      <c r="Y462" s="20" t="str">
        <f t="shared" si="42"/>
        <v>Normal</v>
      </c>
      <c r="Z462" s="20">
        <f t="shared" si="43"/>
        <v>1.5595811198156704</v>
      </c>
      <c r="AA462" s="20">
        <f t="shared" si="44"/>
        <v>-0.47692540050759474</v>
      </c>
      <c r="AB462" s="20">
        <f t="shared" si="45"/>
        <v>-1.7824562175700205</v>
      </c>
      <c r="AC462" s="20">
        <f t="shared" si="46"/>
        <v>-2.012789834061075</v>
      </c>
      <c r="AD462" s="20"/>
    </row>
    <row r="463" spans="1:30" x14ac:dyDescent="0.45">
      <c r="A463" s="8" t="s">
        <v>53</v>
      </c>
      <c r="B463" s="8" t="s">
        <v>553</v>
      </c>
      <c r="C463" s="8">
        <v>41</v>
      </c>
      <c r="D463" s="8" t="s">
        <v>1009</v>
      </c>
      <c r="E463" s="8" t="s">
        <v>1014</v>
      </c>
      <c r="F463" s="8" t="s">
        <v>1016</v>
      </c>
      <c r="G463" s="8" t="s">
        <v>1022</v>
      </c>
      <c r="H463" s="8">
        <v>69243.77</v>
      </c>
      <c r="I463" s="8">
        <v>705</v>
      </c>
      <c r="J463" s="8">
        <v>1</v>
      </c>
      <c r="K463" s="8">
        <v>0</v>
      </c>
      <c r="L463" s="8">
        <v>5283.5</v>
      </c>
      <c r="M463" s="8">
        <v>10398.1</v>
      </c>
      <c r="N463" s="8">
        <v>23978.85</v>
      </c>
      <c r="O463" s="8" t="str">
        <f t="shared" si="47"/>
        <v>Fraud</v>
      </c>
      <c r="P463" s="8">
        <v>1</v>
      </c>
      <c r="Q463" s="8" t="s">
        <v>1024</v>
      </c>
      <c r="R463" s="8" t="s">
        <v>1026</v>
      </c>
      <c r="S463" s="8">
        <v>4685</v>
      </c>
      <c r="T463" s="8">
        <v>79</v>
      </c>
      <c r="U463" s="8">
        <v>1906.63</v>
      </c>
      <c r="V463" s="8">
        <v>4.7</v>
      </c>
      <c r="W463" s="8">
        <v>6.7</v>
      </c>
      <c r="X463" s="8">
        <v>5224.5200000000004</v>
      </c>
      <c r="Y463" s="20" t="str">
        <f t="shared" si="42"/>
        <v>Normal</v>
      </c>
      <c r="Z463" s="20">
        <f t="shared" si="43"/>
        <v>1.5648064951264999</v>
      </c>
      <c r="AA463" s="20">
        <f t="shared" si="44"/>
        <v>-0.47367056799793289</v>
      </c>
      <c r="AB463" s="20">
        <f t="shared" si="45"/>
        <v>-1.8796655203555845</v>
      </c>
      <c r="AC463" s="20">
        <f t="shared" si="46"/>
        <v>-0.89252301683251511</v>
      </c>
      <c r="AD463" s="20"/>
    </row>
    <row r="464" spans="1:30" x14ac:dyDescent="0.45">
      <c r="A464" s="8" t="s">
        <v>222</v>
      </c>
      <c r="B464" s="8" t="s">
        <v>720</v>
      </c>
      <c r="C464" s="8">
        <v>32.9</v>
      </c>
      <c r="D464" s="8" t="s">
        <v>1010</v>
      </c>
      <c r="E464" s="8" t="s">
        <v>1014</v>
      </c>
      <c r="F464" s="8" t="s">
        <v>1016</v>
      </c>
      <c r="G464" s="8" t="s">
        <v>1023</v>
      </c>
      <c r="H464" s="8">
        <v>63353.53</v>
      </c>
      <c r="I464" s="8">
        <v>561</v>
      </c>
      <c r="J464" s="8">
        <v>1</v>
      </c>
      <c r="K464" s="8">
        <v>1</v>
      </c>
      <c r="L464" s="8">
        <v>5384.36</v>
      </c>
      <c r="M464" s="8">
        <v>8764.89</v>
      </c>
      <c r="N464" s="8">
        <v>15000</v>
      </c>
      <c r="O464" s="8" t="str">
        <f t="shared" si="47"/>
        <v>Not Fraud</v>
      </c>
      <c r="P464" s="8">
        <v>0</v>
      </c>
      <c r="Q464" s="8" t="s">
        <v>1027</v>
      </c>
      <c r="R464" s="8" t="s">
        <v>1030</v>
      </c>
      <c r="S464" s="8">
        <v>72</v>
      </c>
      <c r="T464" s="8">
        <v>150</v>
      </c>
      <c r="U464" s="8">
        <v>8548.86</v>
      </c>
      <c r="V464" s="8">
        <v>4.4000000000000004</v>
      </c>
      <c r="W464" s="8">
        <v>4.5999999999999996</v>
      </c>
      <c r="X464" s="8">
        <v>0</v>
      </c>
      <c r="Y464" s="20" t="str">
        <f t="shared" si="42"/>
        <v>Normal</v>
      </c>
      <c r="Z464" s="20">
        <f t="shared" si="43"/>
        <v>1.6129372123731007</v>
      </c>
      <c r="AA464" s="20">
        <f t="shared" si="44"/>
        <v>-0.55517662446994709</v>
      </c>
      <c r="AB464" s="20">
        <f t="shared" si="45"/>
        <v>-2.3454245416503392</v>
      </c>
      <c r="AC464" s="20">
        <f t="shared" si="46"/>
        <v>-1.1397451443816704</v>
      </c>
      <c r="AD464" s="20"/>
    </row>
    <row r="465" spans="1:30" x14ac:dyDescent="0.45">
      <c r="A465" s="8" t="s">
        <v>372</v>
      </c>
      <c r="B465" s="8" t="s">
        <v>867</v>
      </c>
      <c r="C465" s="8">
        <v>46.8</v>
      </c>
      <c r="D465" s="8" t="s">
        <v>1009</v>
      </c>
      <c r="E465" s="8" t="s">
        <v>1014</v>
      </c>
      <c r="F465" s="8" t="s">
        <v>1016</v>
      </c>
      <c r="G465" s="8" t="s">
        <v>1023</v>
      </c>
      <c r="H465" s="8">
        <v>94654.73</v>
      </c>
      <c r="I465" s="8">
        <v>803</v>
      </c>
      <c r="J465" s="8">
        <v>0</v>
      </c>
      <c r="K465" s="8">
        <v>1</v>
      </c>
      <c r="L465" s="8">
        <v>5411.89</v>
      </c>
      <c r="M465" s="8">
        <v>21712.76</v>
      </c>
      <c r="N465" s="8">
        <v>77851.95</v>
      </c>
      <c r="O465" s="8" t="str">
        <f t="shared" si="47"/>
        <v>Not Fraud</v>
      </c>
      <c r="P465" s="8">
        <v>0</v>
      </c>
      <c r="Q465" s="8" t="s">
        <v>1027</v>
      </c>
      <c r="R465" s="8" t="s">
        <v>1029</v>
      </c>
      <c r="S465" s="8">
        <v>1374</v>
      </c>
      <c r="T465" s="8">
        <v>151</v>
      </c>
      <c r="U465" s="8">
        <v>9149.43</v>
      </c>
      <c r="V465" s="8">
        <v>4.4000000000000004</v>
      </c>
      <c r="W465" s="8">
        <v>4.0999999999999996</v>
      </c>
      <c r="X465" s="8">
        <v>0</v>
      </c>
      <c r="Y465" s="20" t="str">
        <f t="shared" si="42"/>
        <v>Normal</v>
      </c>
      <c r="Z465" s="20">
        <f t="shared" si="43"/>
        <v>1.6260746171500089</v>
      </c>
      <c r="AA465" s="20">
        <f t="shared" si="44"/>
        <v>9.0992467938437585E-2</v>
      </c>
      <c r="AB465" s="20">
        <f t="shared" si="45"/>
        <v>0.9148886074129452</v>
      </c>
      <c r="AC465" s="20">
        <f t="shared" si="46"/>
        <v>0.17401274304594011</v>
      </c>
      <c r="AD465" s="20"/>
    </row>
    <row r="466" spans="1:30" x14ac:dyDescent="0.45">
      <c r="A466" s="8" t="s">
        <v>284</v>
      </c>
      <c r="B466" s="8" t="s">
        <v>781</v>
      </c>
      <c r="C466" s="8">
        <v>49.1</v>
      </c>
      <c r="D466" s="8" t="s">
        <v>1010</v>
      </c>
      <c r="E466" s="8" t="s">
        <v>1011</v>
      </c>
      <c r="F466" s="8" t="s">
        <v>1016</v>
      </c>
      <c r="G466" s="8" t="s">
        <v>1020</v>
      </c>
      <c r="H466" s="8">
        <v>108025.84</v>
      </c>
      <c r="I466" s="8">
        <v>688</v>
      </c>
      <c r="J466" s="8">
        <v>0</v>
      </c>
      <c r="K466" s="8">
        <v>0</v>
      </c>
      <c r="L466" s="8">
        <v>5502.85</v>
      </c>
      <c r="M466" s="8">
        <v>32054.79</v>
      </c>
      <c r="N466" s="8">
        <v>89797.27</v>
      </c>
      <c r="O466" s="8" t="str">
        <f t="shared" si="47"/>
        <v>Not Fraud</v>
      </c>
      <c r="P466" s="8">
        <v>0</v>
      </c>
      <c r="Q466" s="8" t="s">
        <v>1027</v>
      </c>
      <c r="R466" s="8" t="s">
        <v>1030</v>
      </c>
      <c r="S466" s="8">
        <v>2160</v>
      </c>
      <c r="T466" s="8">
        <v>52</v>
      </c>
      <c r="U466" s="8">
        <v>3844.07</v>
      </c>
      <c r="V466" s="8">
        <v>3.9</v>
      </c>
      <c r="W466" s="8">
        <v>0.9</v>
      </c>
      <c r="X466" s="8">
        <v>0</v>
      </c>
      <c r="Y466" s="20" t="str">
        <f t="shared" si="42"/>
        <v>Normal</v>
      </c>
      <c r="Z466" s="20">
        <f t="shared" si="43"/>
        <v>1.66948102247175</v>
      </c>
      <c r="AA466" s="20">
        <f t="shared" si="44"/>
        <v>0.60711598004971834</v>
      </c>
      <c r="AB466" s="20">
        <f t="shared" si="45"/>
        <v>1.5345270413162473</v>
      </c>
      <c r="AC466" s="20">
        <f t="shared" si="46"/>
        <v>0.73521810342069249</v>
      </c>
      <c r="AD466" s="20"/>
    </row>
    <row r="467" spans="1:30" x14ac:dyDescent="0.45">
      <c r="A467" s="8" t="s">
        <v>203</v>
      </c>
      <c r="B467" s="8" t="s">
        <v>701</v>
      </c>
      <c r="C467" s="8">
        <v>59.4</v>
      </c>
      <c r="D467" s="8" t="s">
        <v>1009</v>
      </c>
      <c r="E467" s="8" t="s">
        <v>1012</v>
      </c>
      <c r="F467" s="8" t="s">
        <v>1017</v>
      </c>
      <c r="G467" s="8" t="s">
        <v>1020</v>
      </c>
      <c r="H467" s="8">
        <v>81877.05</v>
      </c>
      <c r="I467" s="8">
        <v>529</v>
      </c>
      <c r="J467" s="8">
        <v>1</v>
      </c>
      <c r="K467" s="8">
        <v>1</v>
      </c>
      <c r="L467" s="8">
        <v>5513.22</v>
      </c>
      <c r="M467" s="8">
        <v>59625.98</v>
      </c>
      <c r="N467" s="8">
        <v>65307.25</v>
      </c>
      <c r="O467" s="8" t="str">
        <f t="shared" si="47"/>
        <v>Fraud</v>
      </c>
      <c r="P467" s="8">
        <v>1</v>
      </c>
      <c r="Q467" s="8" t="s">
        <v>1026</v>
      </c>
      <c r="R467" s="8" t="s">
        <v>1029</v>
      </c>
      <c r="S467" s="8">
        <v>2655</v>
      </c>
      <c r="T467" s="8">
        <v>112</v>
      </c>
      <c r="U467" s="8">
        <v>9907.2199999999993</v>
      </c>
      <c r="V467" s="8">
        <v>1.5</v>
      </c>
      <c r="W467" s="8">
        <v>5.9</v>
      </c>
      <c r="X467" s="8">
        <v>4031.52</v>
      </c>
      <c r="Y467" s="20" t="str">
        <f t="shared" si="42"/>
        <v>Normal</v>
      </c>
      <c r="Z467" s="20">
        <f t="shared" si="43"/>
        <v>1.6744296199122344</v>
      </c>
      <c r="AA467" s="20">
        <f t="shared" si="44"/>
        <v>1.9830682269381359</v>
      </c>
      <c r="AB467" s="20">
        <f t="shared" si="45"/>
        <v>0.2641585924960782</v>
      </c>
      <c r="AC467" s="20">
        <f t="shared" si="46"/>
        <v>-0.36228547820519474</v>
      </c>
      <c r="AD467" s="20"/>
    </row>
    <row r="468" spans="1:30" x14ac:dyDescent="0.45">
      <c r="A468" s="8" t="s">
        <v>428</v>
      </c>
      <c r="B468" s="8" t="s">
        <v>918</v>
      </c>
      <c r="C468" s="8">
        <v>59.3</v>
      </c>
      <c r="D468" s="8" t="s">
        <v>1010</v>
      </c>
      <c r="E468" s="8" t="s">
        <v>1012</v>
      </c>
      <c r="F468" s="8" t="s">
        <v>1016</v>
      </c>
      <c r="G468" s="8" t="s">
        <v>1022</v>
      </c>
      <c r="H468" s="8">
        <v>121168.8</v>
      </c>
      <c r="I468" s="8">
        <v>627</v>
      </c>
      <c r="J468" s="8">
        <v>1</v>
      </c>
      <c r="K468" s="8">
        <v>1</v>
      </c>
      <c r="L468" s="8">
        <v>5544.58</v>
      </c>
      <c r="M468" s="8">
        <v>14702.06</v>
      </c>
      <c r="N468" s="8">
        <v>88447.4</v>
      </c>
      <c r="O468" s="8" t="str">
        <f t="shared" si="47"/>
        <v>Not Fraud</v>
      </c>
      <c r="P468" s="8">
        <v>0</v>
      </c>
      <c r="Q468" s="8" t="s">
        <v>1024</v>
      </c>
      <c r="R468" s="8" t="s">
        <v>1029</v>
      </c>
      <c r="S468" s="8">
        <v>138</v>
      </c>
      <c r="T468" s="8">
        <v>275</v>
      </c>
      <c r="U468" s="8">
        <v>6112.97</v>
      </c>
      <c r="V468" s="8">
        <v>1.9</v>
      </c>
      <c r="W468" s="8">
        <v>7.4</v>
      </c>
      <c r="X468" s="8">
        <v>0</v>
      </c>
      <c r="Y468" s="20" t="str">
        <f t="shared" si="42"/>
        <v>Normal</v>
      </c>
      <c r="Z468" s="20">
        <f t="shared" si="43"/>
        <v>1.6893947130398705</v>
      </c>
      <c r="AA468" s="20">
        <f t="shared" si="44"/>
        <v>-0.25887956940418805</v>
      </c>
      <c r="AB468" s="20">
        <f t="shared" si="45"/>
        <v>1.4645053648125577</v>
      </c>
      <c r="AC468" s="20">
        <f t="shared" si="46"/>
        <v>1.2868476691927906</v>
      </c>
      <c r="AD468" s="20"/>
    </row>
    <row r="469" spans="1:30" x14ac:dyDescent="0.45">
      <c r="A469" s="8" t="s">
        <v>344</v>
      </c>
      <c r="B469" s="8" t="s">
        <v>839</v>
      </c>
      <c r="C469" s="8">
        <v>58.9</v>
      </c>
      <c r="D469" s="8" t="s">
        <v>1009</v>
      </c>
      <c r="E469" s="8" t="s">
        <v>1014</v>
      </c>
      <c r="F469" s="8" t="s">
        <v>1018</v>
      </c>
      <c r="G469" s="8" t="s">
        <v>1020</v>
      </c>
      <c r="H469" s="8">
        <v>115124.45</v>
      </c>
      <c r="I469" s="8">
        <v>596</v>
      </c>
      <c r="J469" s="8">
        <v>1</v>
      </c>
      <c r="K469" s="8">
        <v>0</v>
      </c>
      <c r="L469" s="8">
        <v>5756.48</v>
      </c>
      <c r="M469" s="8">
        <v>9453.7900000000009</v>
      </c>
      <c r="N469" s="8">
        <v>69448.13</v>
      </c>
      <c r="O469" s="8" t="str">
        <f t="shared" si="47"/>
        <v>Fraud</v>
      </c>
      <c r="P469" s="8">
        <v>1</v>
      </c>
      <c r="Q469" s="8" t="s">
        <v>1027</v>
      </c>
      <c r="R469" s="8" t="s">
        <v>1029</v>
      </c>
      <c r="S469" s="8">
        <v>4646</v>
      </c>
      <c r="T469" s="8">
        <v>144</v>
      </c>
      <c r="U469" s="8">
        <v>9919.01</v>
      </c>
      <c r="V469" s="8">
        <v>5.2</v>
      </c>
      <c r="W469" s="8">
        <v>5.8</v>
      </c>
      <c r="X469" s="8">
        <v>3806.32</v>
      </c>
      <c r="Y469" s="20" t="str">
        <f t="shared" si="42"/>
        <v>Normal</v>
      </c>
      <c r="Z469" s="20">
        <f t="shared" si="43"/>
        <v>1.7905140763608574</v>
      </c>
      <c r="AA469" s="20">
        <f t="shared" si="44"/>
        <v>-0.52079676988690471</v>
      </c>
      <c r="AB469" s="20">
        <f t="shared" si="45"/>
        <v>0.47895806192691032</v>
      </c>
      <c r="AC469" s="20">
        <f t="shared" si="46"/>
        <v>1.0331573158877068</v>
      </c>
      <c r="AD469" s="20"/>
    </row>
    <row r="470" spans="1:30" x14ac:dyDescent="0.45">
      <c r="A470" s="8" t="s">
        <v>384</v>
      </c>
      <c r="B470" s="8" t="s">
        <v>878</v>
      </c>
      <c r="C470" s="8">
        <v>73</v>
      </c>
      <c r="D470" s="8" t="s">
        <v>1010</v>
      </c>
      <c r="E470" s="8" t="s">
        <v>1011</v>
      </c>
      <c r="F470" s="8" t="s">
        <v>1016</v>
      </c>
      <c r="G470" s="8" t="s">
        <v>1020</v>
      </c>
      <c r="H470" s="8">
        <v>87638.01</v>
      </c>
      <c r="I470" s="8">
        <v>712</v>
      </c>
      <c r="J470" s="8">
        <v>0</v>
      </c>
      <c r="K470" s="8">
        <v>1</v>
      </c>
      <c r="L470" s="8">
        <v>5844.48</v>
      </c>
      <c r="M470" s="8">
        <v>3699.1</v>
      </c>
      <c r="N470" s="8">
        <v>62087.12</v>
      </c>
      <c r="O470" s="8" t="str">
        <f t="shared" si="47"/>
        <v>Not Fraud</v>
      </c>
      <c r="P470" s="8">
        <v>0</v>
      </c>
      <c r="Q470" s="8" t="s">
        <v>1024</v>
      </c>
      <c r="R470" s="8" t="s">
        <v>1026</v>
      </c>
      <c r="S470" s="8">
        <v>810</v>
      </c>
      <c r="T470" s="8">
        <v>282</v>
      </c>
      <c r="U470" s="8">
        <v>8391.32</v>
      </c>
      <c r="V470" s="8">
        <v>4.0999999999999996</v>
      </c>
      <c r="W470" s="8">
        <v>7.9</v>
      </c>
      <c r="X470" s="8">
        <v>0</v>
      </c>
      <c r="Y470" s="20" t="str">
        <f t="shared" si="42"/>
        <v>Normal</v>
      </c>
      <c r="Z470" s="20">
        <f t="shared" si="43"/>
        <v>1.8325079601373879</v>
      </c>
      <c r="AA470" s="20">
        <f t="shared" si="44"/>
        <v>-0.80798708106485195</v>
      </c>
      <c r="AB470" s="20">
        <f t="shared" si="45"/>
        <v>9.7121099137588165E-2</v>
      </c>
      <c r="AC470" s="20">
        <f t="shared" si="46"/>
        <v>-0.12048942440677944</v>
      </c>
      <c r="AD470" s="20"/>
    </row>
    <row r="471" spans="1:30" x14ac:dyDescent="0.45">
      <c r="A471" s="8" t="s">
        <v>196</v>
      </c>
      <c r="B471" s="8" t="s">
        <v>694</v>
      </c>
      <c r="C471" s="8">
        <v>55.1</v>
      </c>
      <c r="D471" s="8" t="s">
        <v>1010</v>
      </c>
      <c r="E471" s="8" t="s">
        <v>1013</v>
      </c>
      <c r="F471" s="8" t="s">
        <v>1016</v>
      </c>
      <c r="G471" s="8" t="s">
        <v>1022</v>
      </c>
      <c r="H471" s="8">
        <v>107538.42</v>
      </c>
      <c r="I471" s="8">
        <v>666</v>
      </c>
      <c r="J471" s="8">
        <v>0</v>
      </c>
      <c r="K471" s="8">
        <v>0</v>
      </c>
      <c r="L471" s="8">
        <v>5880.71</v>
      </c>
      <c r="M471" s="8">
        <v>14663.21</v>
      </c>
      <c r="N471" s="8">
        <v>77487.78</v>
      </c>
      <c r="O471" s="8" t="str">
        <f t="shared" si="47"/>
        <v>Not Fraud</v>
      </c>
      <c r="P471" s="8">
        <v>0</v>
      </c>
      <c r="Q471" s="8" t="s">
        <v>1024</v>
      </c>
      <c r="R471" s="8" t="s">
        <v>1029</v>
      </c>
      <c r="S471" s="8">
        <v>2903</v>
      </c>
      <c r="T471" s="8">
        <v>46</v>
      </c>
      <c r="U471" s="8">
        <v>1873.92</v>
      </c>
      <c r="V471" s="8">
        <v>2.5</v>
      </c>
      <c r="W471" s="8">
        <v>6.6</v>
      </c>
      <c r="X471" s="8">
        <v>0</v>
      </c>
      <c r="Y471" s="20" t="str">
        <f t="shared" si="42"/>
        <v>Normal</v>
      </c>
      <c r="Z471" s="20">
        <f t="shared" si="43"/>
        <v>1.8497970329694757</v>
      </c>
      <c r="AA471" s="20">
        <f t="shared" si="44"/>
        <v>-0.2608183955771467</v>
      </c>
      <c r="AB471" s="20">
        <f t="shared" si="45"/>
        <v>0.89599805207624728</v>
      </c>
      <c r="AC471" s="20">
        <f t="shared" si="46"/>
        <v>0.71476036156127609</v>
      </c>
      <c r="AD471" s="20"/>
    </row>
    <row r="472" spans="1:30" x14ac:dyDescent="0.45">
      <c r="A472" s="8" t="s">
        <v>440</v>
      </c>
      <c r="B472" s="8" t="s">
        <v>930</v>
      </c>
      <c r="C472" s="8">
        <v>51.7</v>
      </c>
      <c r="D472" s="8" t="s">
        <v>1010</v>
      </c>
      <c r="E472" s="8" t="s">
        <v>1012</v>
      </c>
      <c r="F472" s="8" t="s">
        <v>1018</v>
      </c>
      <c r="G472" s="8" t="s">
        <v>1021</v>
      </c>
      <c r="H472" s="8">
        <v>110434.29</v>
      </c>
      <c r="I472" s="8">
        <v>575</v>
      </c>
      <c r="J472" s="8">
        <v>0</v>
      </c>
      <c r="K472" s="8">
        <v>0</v>
      </c>
      <c r="L472" s="8">
        <v>5907.51</v>
      </c>
      <c r="M472" s="8">
        <v>10970.28</v>
      </c>
      <c r="N472" s="8">
        <v>40038.79</v>
      </c>
      <c r="O472" s="8" t="str">
        <f t="shared" si="47"/>
        <v>Not Fraud</v>
      </c>
      <c r="P472" s="8">
        <v>0</v>
      </c>
      <c r="Q472" s="8" t="s">
        <v>1027</v>
      </c>
      <c r="R472" s="8" t="s">
        <v>1030</v>
      </c>
      <c r="S472" s="8">
        <v>868</v>
      </c>
      <c r="T472" s="8">
        <v>264</v>
      </c>
      <c r="U472" s="8">
        <v>8879.7099999999991</v>
      </c>
      <c r="V472" s="8">
        <v>5.6</v>
      </c>
      <c r="W472" s="8">
        <v>1.5</v>
      </c>
      <c r="X472" s="8">
        <v>0</v>
      </c>
      <c r="Y472" s="20" t="str">
        <f t="shared" si="42"/>
        <v>Normal</v>
      </c>
      <c r="Z472" s="20">
        <f t="shared" si="43"/>
        <v>1.8625860793923283</v>
      </c>
      <c r="AA472" s="20">
        <f t="shared" si="44"/>
        <v>-0.44511567585781797</v>
      </c>
      <c r="AB472" s="20">
        <f t="shared" si="45"/>
        <v>-1.0465897994723434</v>
      </c>
      <c r="AC472" s="20">
        <f t="shared" si="46"/>
        <v>0.83630432963486401</v>
      </c>
      <c r="AD472" s="20"/>
    </row>
    <row r="473" spans="1:30" x14ac:dyDescent="0.45">
      <c r="A473" s="8" t="s">
        <v>305</v>
      </c>
      <c r="B473" s="8" t="s">
        <v>801</v>
      </c>
      <c r="C473" s="8">
        <v>73.8</v>
      </c>
      <c r="D473" s="8" t="s">
        <v>1010</v>
      </c>
      <c r="E473" s="8" t="s">
        <v>1015</v>
      </c>
      <c r="F473" s="8" t="s">
        <v>1019</v>
      </c>
      <c r="G473" s="8" t="s">
        <v>1021</v>
      </c>
      <c r="H473" s="8">
        <v>86505.46</v>
      </c>
      <c r="I473" s="8">
        <v>619</v>
      </c>
      <c r="J473" s="8">
        <v>0</v>
      </c>
      <c r="K473" s="8">
        <v>1</v>
      </c>
      <c r="L473" s="8">
        <v>5962.92</v>
      </c>
      <c r="M473" s="8">
        <v>13865.27</v>
      </c>
      <c r="N473" s="8">
        <v>43782.85</v>
      </c>
      <c r="O473" s="8" t="str">
        <f t="shared" si="47"/>
        <v>Not Fraud</v>
      </c>
      <c r="P473" s="8">
        <v>0</v>
      </c>
      <c r="Q473" s="8" t="s">
        <v>1025</v>
      </c>
      <c r="R473" s="8" t="s">
        <v>1026</v>
      </c>
      <c r="S473" s="8">
        <v>3651</v>
      </c>
      <c r="T473" s="8">
        <v>129</v>
      </c>
      <c r="U473" s="8">
        <v>8112.76</v>
      </c>
      <c r="V473" s="8">
        <v>2.4</v>
      </c>
      <c r="W473" s="8">
        <v>1.5</v>
      </c>
      <c r="X473" s="8">
        <v>0</v>
      </c>
      <c r="Y473" s="20" t="str">
        <f t="shared" si="42"/>
        <v>Normal</v>
      </c>
      <c r="Z473" s="20">
        <f t="shared" si="43"/>
        <v>1.8890279100748004</v>
      </c>
      <c r="AA473" s="20">
        <f t="shared" si="44"/>
        <v>-0.30063993885772838</v>
      </c>
      <c r="AB473" s="20">
        <f t="shared" si="45"/>
        <v>-0.85237453568368027</v>
      </c>
      <c r="AC473" s="20">
        <f t="shared" si="46"/>
        <v>-0.16802423123227256</v>
      </c>
      <c r="AD473" s="20"/>
    </row>
    <row r="474" spans="1:30" x14ac:dyDescent="0.45">
      <c r="A474" s="8" t="s">
        <v>286</v>
      </c>
      <c r="B474" s="8" t="s">
        <v>523</v>
      </c>
      <c r="C474" s="8">
        <v>34.6</v>
      </c>
      <c r="D474" s="8" t="s">
        <v>1009</v>
      </c>
      <c r="E474" s="8" t="s">
        <v>1014</v>
      </c>
      <c r="F474" s="8" t="s">
        <v>1019</v>
      </c>
      <c r="G474" s="8" t="s">
        <v>1021</v>
      </c>
      <c r="H474" s="8">
        <v>52346.55</v>
      </c>
      <c r="I474" s="8">
        <v>593</v>
      </c>
      <c r="J474" s="8">
        <v>1</v>
      </c>
      <c r="K474" s="8">
        <v>0</v>
      </c>
      <c r="L474" s="8">
        <v>6002.66</v>
      </c>
      <c r="M474" s="8">
        <v>406.87</v>
      </c>
      <c r="N474" s="8">
        <v>43430.06</v>
      </c>
      <c r="O474" s="8" t="str">
        <f t="shared" si="47"/>
        <v>Fraud</v>
      </c>
      <c r="P474" s="8">
        <v>1</v>
      </c>
      <c r="Q474" s="8" t="s">
        <v>1025</v>
      </c>
      <c r="R474" s="8" t="s">
        <v>1029</v>
      </c>
      <c r="S474" s="8">
        <v>2426</v>
      </c>
      <c r="T474" s="8">
        <v>67</v>
      </c>
      <c r="U474" s="8">
        <v>4823.22</v>
      </c>
      <c r="V474" s="8">
        <v>2.9</v>
      </c>
      <c r="W474" s="8">
        <v>7.9</v>
      </c>
      <c r="X474" s="8">
        <v>5042.17</v>
      </c>
      <c r="Y474" s="20" t="str">
        <f t="shared" si="42"/>
        <v>Normal</v>
      </c>
      <c r="Z474" s="20">
        <f t="shared" si="43"/>
        <v>1.9079919662257019</v>
      </c>
      <c r="AA474" s="20">
        <f t="shared" si="44"/>
        <v>-0.972287253301649</v>
      </c>
      <c r="AB474" s="20">
        <f t="shared" si="45"/>
        <v>-0.87067477737638888</v>
      </c>
      <c r="AC474" s="20">
        <f t="shared" si="46"/>
        <v>-1.6017244548157097</v>
      </c>
      <c r="AD474" s="20"/>
    </row>
    <row r="475" spans="1:30" x14ac:dyDescent="0.45">
      <c r="A475" s="8" t="s">
        <v>210</v>
      </c>
      <c r="B475" s="8" t="s">
        <v>708</v>
      </c>
      <c r="C475" s="8">
        <v>48.9</v>
      </c>
      <c r="D475" s="8" t="s">
        <v>1010</v>
      </c>
      <c r="E475" s="8" t="s">
        <v>1014</v>
      </c>
      <c r="F475" s="8" t="s">
        <v>1019</v>
      </c>
      <c r="G475" s="8" t="s">
        <v>1022</v>
      </c>
      <c r="H475" s="8">
        <v>92993.74</v>
      </c>
      <c r="I475" s="8">
        <v>786</v>
      </c>
      <c r="J475" s="8">
        <v>0</v>
      </c>
      <c r="K475" s="8">
        <v>0</v>
      </c>
      <c r="L475" s="8">
        <v>6083.97</v>
      </c>
      <c r="M475" s="8">
        <v>13225.32</v>
      </c>
      <c r="N475" s="8">
        <v>84722.61</v>
      </c>
      <c r="O475" s="8" t="str">
        <f t="shared" si="47"/>
        <v>Not Fraud</v>
      </c>
      <c r="P475" s="8">
        <v>0</v>
      </c>
      <c r="Q475" s="8" t="s">
        <v>1027</v>
      </c>
      <c r="R475" s="8" t="s">
        <v>1028</v>
      </c>
      <c r="S475" s="8">
        <v>2429</v>
      </c>
      <c r="T475" s="8">
        <v>115</v>
      </c>
      <c r="U475" s="8">
        <v>4817.07</v>
      </c>
      <c r="V475" s="8">
        <v>6.5</v>
      </c>
      <c r="W475" s="8">
        <v>8.5</v>
      </c>
      <c r="X475" s="8">
        <v>0</v>
      </c>
      <c r="Y475" s="20" t="str">
        <f t="shared" si="42"/>
        <v>Normal</v>
      </c>
      <c r="Z475" s="20">
        <f t="shared" si="43"/>
        <v>1.9467933604287668</v>
      </c>
      <c r="AA475" s="20">
        <f t="shared" si="44"/>
        <v>-0.33257692236827852</v>
      </c>
      <c r="AB475" s="20">
        <f t="shared" si="45"/>
        <v>1.2712896918779961</v>
      </c>
      <c r="AC475" s="20">
        <f t="shared" si="46"/>
        <v>0.10429852399240942</v>
      </c>
      <c r="AD475" s="20"/>
    </row>
    <row r="476" spans="1:30" x14ac:dyDescent="0.45">
      <c r="A476" s="8" t="s">
        <v>133</v>
      </c>
      <c r="B476" s="8" t="s">
        <v>631</v>
      </c>
      <c r="C476" s="8">
        <v>21.2</v>
      </c>
      <c r="D476" s="8" t="s">
        <v>1010</v>
      </c>
      <c r="E476" s="8" t="s">
        <v>1014</v>
      </c>
      <c r="F476" s="8" t="s">
        <v>1016</v>
      </c>
      <c r="G476" s="8" t="s">
        <v>1020</v>
      </c>
      <c r="H476" s="8">
        <v>78181.36</v>
      </c>
      <c r="I476" s="8">
        <v>574</v>
      </c>
      <c r="J476" s="8">
        <v>0</v>
      </c>
      <c r="K476" s="8">
        <v>0</v>
      </c>
      <c r="L476" s="8">
        <v>6084.14</v>
      </c>
      <c r="M476" s="8">
        <v>3723.87</v>
      </c>
      <c r="N476" s="8">
        <v>67028.960000000006</v>
      </c>
      <c r="O476" s="8" t="str">
        <f t="shared" si="47"/>
        <v>Not Fraud</v>
      </c>
      <c r="P476" s="8">
        <v>0</v>
      </c>
      <c r="Q476" s="8" t="s">
        <v>1027</v>
      </c>
      <c r="R476" s="8" t="s">
        <v>1028</v>
      </c>
      <c r="S476" s="8">
        <v>2054</v>
      </c>
      <c r="T476" s="8">
        <v>158</v>
      </c>
      <c r="U476" s="8">
        <v>5643.03</v>
      </c>
      <c r="V476" s="8">
        <v>2.9</v>
      </c>
      <c r="W476" s="8">
        <v>6.4</v>
      </c>
      <c r="X476" s="8">
        <v>0</v>
      </c>
      <c r="Y476" s="20" t="str">
        <f t="shared" si="42"/>
        <v>Normal</v>
      </c>
      <c r="Z476" s="20">
        <f t="shared" si="43"/>
        <v>1.9468744849769717</v>
      </c>
      <c r="AA476" s="20">
        <f t="shared" si="44"/>
        <v>-0.80675092342510468</v>
      </c>
      <c r="AB476" s="20">
        <f t="shared" si="45"/>
        <v>0.35346868950776628</v>
      </c>
      <c r="AC476" s="20">
        <f t="shared" si="46"/>
        <v>-0.51739908046285099</v>
      </c>
      <c r="AD476" s="20"/>
    </row>
    <row r="477" spans="1:30" x14ac:dyDescent="0.45">
      <c r="A477" s="8" t="s">
        <v>86</v>
      </c>
      <c r="B477" s="8" t="s">
        <v>586</v>
      </c>
      <c r="C477" s="8">
        <v>32.1</v>
      </c>
      <c r="D477" s="8" t="s">
        <v>1010</v>
      </c>
      <c r="E477" s="8" t="s">
        <v>1012</v>
      </c>
      <c r="F477" s="8" t="s">
        <v>1019</v>
      </c>
      <c r="G477" s="8" t="s">
        <v>1020</v>
      </c>
      <c r="H477" s="8">
        <v>85898.63</v>
      </c>
      <c r="I477" s="8">
        <v>411</v>
      </c>
      <c r="J477" s="8">
        <v>0</v>
      </c>
      <c r="K477" s="8">
        <v>1</v>
      </c>
      <c r="L477" s="8">
        <v>6425.08</v>
      </c>
      <c r="M477" s="8">
        <v>18254.09</v>
      </c>
      <c r="N477" s="8">
        <v>59414.74</v>
      </c>
      <c r="O477" s="8" t="str">
        <f t="shared" si="47"/>
        <v>Not Fraud</v>
      </c>
      <c r="P477" s="8">
        <v>0</v>
      </c>
      <c r="Q477" s="8" t="s">
        <v>1025</v>
      </c>
      <c r="R477" s="8" t="s">
        <v>1029</v>
      </c>
      <c r="S477" s="8">
        <v>2919</v>
      </c>
      <c r="T477" s="8">
        <v>91</v>
      </c>
      <c r="U477" s="8">
        <v>7192.72</v>
      </c>
      <c r="V477" s="8">
        <v>6.7</v>
      </c>
      <c r="W477" s="8">
        <v>4.5</v>
      </c>
      <c r="X477" s="8">
        <v>0</v>
      </c>
      <c r="Y477" s="20" t="str">
        <f t="shared" si="42"/>
        <v>Outlier</v>
      </c>
      <c r="Z477" s="20">
        <f t="shared" si="43"/>
        <v>2.1095721524175435</v>
      </c>
      <c r="AA477" s="20">
        <f t="shared" si="44"/>
        <v>-8.1613964999188979E-2</v>
      </c>
      <c r="AB477" s="20">
        <f t="shared" si="45"/>
        <v>-4.1503011224839022E-2</v>
      </c>
      <c r="AC477" s="20">
        <f t="shared" si="46"/>
        <v>-0.19349378827250421</v>
      </c>
      <c r="AD477" s="20"/>
    </row>
    <row r="478" spans="1:30" x14ac:dyDescent="0.45">
      <c r="A478" s="8" t="s">
        <v>217</v>
      </c>
      <c r="B478" s="8" t="s">
        <v>715</v>
      </c>
      <c r="C478" s="8">
        <v>52.6</v>
      </c>
      <c r="D478" s="8" t="s">
        <v>1010</v>
      </c>
      <c r="E478" s="8" t="s">
        <v>1014</v>
      </c>
      <c r="F478" s="8" t="s">
        <v>1018</v>
      </c>
      <c r="G478" s="8" t="s">
        <v>1022</v>
      </c>
      <c r="H478" s="8">
        <v>91420.62</v>
      </c>
      <c r="I478" s="8">
        <v>669</v>
      </c>
      <c r="J478" s="8">
        <v>1</v>
      </c>
      <c r="K478" s="8">
        <v>0</v>
      </c>
      <c r="L478" s="8">
        <v>6456.17</v>
      </c>
      <c r="M478" s="8">
        <v>16125.05</v>
      </c>
      <c r="N478" s="8">
        <v>57211.07</v>
      </c>
      <c r="O478" s="8" t="str">
        <f t="shared" si="47"/>
        <v>Fraud</v>
      </c>
      <c r="P478" s="8">
        <v>1</v>
      </c>
      <c r="Q478" s="8" t="s">
        <v>1025</v>
      </c>
      <c r="R478" s="8" t="s">
        <v>1026</v>
      </c>
      <c r="S478" s="8">
        <v>4888</v>
      </c>
      <c r="T478" s="8">
        <v>147</v>
      </c>
      <c r="U478" s="8">
        <v>6314.03</v>
      </c>
      <c r="V478" s="8">
        <v>5.7</v>
      </c>
      <c r="W478" s="8">
        <v>5.4</v>
      </c>
      <c r="X478" s="8">
        <v>3277.2</v>
      </c>
      <c r="Y478" s="20" t="str">
        <f t="shared" si="42"/>
        <v>Outlier</v>
      </c>
      <c r="Z478" s="20">
        <f t="shared" si="43"/>
        <v>2.1244084006745019</v>
      </c>
      <c r="AA478" s="20">
        <f t="shared" si="44"/>
        <v>-0.18786463360345731</v>
      </c>
      <c r="AB478" s="20">
        <f t="shared" si="45"/>
        <v>-0.15581377289884091</v>
      </c>
      <c r="AC478" s="20">
        <f t="shared" si="46"/>
        <v>3.8272339441333555E-2</v>
      </c>
      <c r="AD478" s="20"/>
    </row>
    <row r="479" spans="1:30" x14ac:dyDescent="0.45">
      <c r="A479" s="8" t="s">
        <v>240</v>
      </c>
      <c r="B479" s="8" t="s">
        <v>738</v>
      </c>
      <c r="C479" s="8">
        <v>46.4</v>
      </c>
      <c r="D479" s="8" t="s">
        <v>1010</v>
      </c>
      <c r="E479" s="8" t="s">
        <v>1011</v>
      </c>
      <c r="F479" s="8" t="s">
        <v>1016</v>
      </c>
      <c r="G479" s="8" t="s">
        <v>1022</v>
      </c>
      <c r="H479" s="8">
        <v>81254.64</v>
      </c>
      <c r="I479" s="8">
        <v>718</v>
      </c>
      <c r="J479" s="8">
        <v>0</v>
      </c>
      <c r="K479" s="8">
        <v>0</v>
      </c>
      <c r="L479" s="8">
        <v>6558.21</v>
      </c>
      <c r="M479" s="8">
        <v>6726.97</v>
      </c>
      <c r="N479" s="8">
        <v>41958.97</v>
      </c>
      <c r="O479" s="8" t="str">
        <f t="shared" si="47"/>
        <v>Not Fraud</v>
      </c>
      <c r="P479" s="8">
        <v>0</v>
      </c>
      <c r="Q479" s="8" t="s">
        <v>1027</v>
      </c>
      <c r="R479" s="8" t="s">
        <v>1026</v>
      </c>
      <c r="S479" s="8">
        <v>3838</v>
      </c>
      <c r="T479" s="8">
        <v>275</v>
      </c>
      <c r="U479" s="8">
        <v>1326.12</v>
      </c>
      <c r="V479" s="8">
        <v>1.9</v>
      </c>
      <c r="W479" s="8">
        <v>6.2</v>
      </c>
      <c r="X479" s="8">
        <v>0</v>
      </c>
      <c r="Y479" s="20" t="str">
        <f t="shared" si="42"/>
        <v>Outlier</v>
      </c>
      <c r="Z479" s="20">
        <f t="shared" si="43"/>
        <v>2.1731022177262882</v>
      </c>
      <c r="AA479" s="20">
        <f t="shared" si="44"/>
        <v>-0.65687990978258104</v>
      </c>
      <c r="AB479" s="20">
        <f t="shared" si="45"/>
        <v>-0.94698448726535012</v>
      </c>
      <c r="AC479" s="20">
        <f t="shared" si="46"/>
        <v>-0.38840895100220646</v>
      </c>
      <c r="AD479" s="20"/>
    </row>
    <row r="480" spans="1:30" x14ac:dyDescent="0.45">
      <c r="A480" s="8" t="s">
        <v>33</v>
      </c>
      <c r="B480" s="8" t="s">
        <v>533</v>
      </c>
      <c r="C480" s="8">
        <v>43</v>
      </c>
      <c r="D480" s="8" t="s">
        <v>1010</v>
      </c>
      <c r="E480" s="8" t="s">
        <v>1012</v>
      </c>
      <c r="F480" s="8" t="s">
        <v>1019</v>
      </c>
      <c r="G480" s="8" t="s">
        <v>1022</v>
      </c>
      <c r="H480" s="8">
        <v>86981.17</v>
      </c>
      <c r="I480" s="8">
        <v>691</v>
      </c>
      <c r="J480" s="8">
        <v>0</v>
      </c>
      <c r="K480" s="8">
        <v>0</v>
      </c>
      <c r="L480" s="8">
        <v>6668.19</v>
      </c>
      <c r="M480" s="8">
        <v>11339.86</v>
      </c>
      <c r="N480" s="8">
        <v>58232.74</v>
      </c>
      <c r="O480" s="8" t="str">
        <f t="shared" si="47"/>
        <v>Not Fraud</v>
      </c>
      <c r="P480" s="8">
        <v>0</v>
      </c>
      <c r="Q480" s="8" t="s">
        <v>1024</v>
      </c>
      <c r="R480" s="8" t="s">
        <v>1026</v>
      </c>
      <c r="S480" s="8">
        <v>569</v>
      </c>
      <c r="T480" s="8">
        <v>223</v>
      </c>
      <c r="U480" s="8">
        <v>9221.27</v>
      </c>
      <c r="V480" s="8">
        <v>2.2999999999999998</v>
      </c>
      <c r="W480" s="8">
        <v>2</v>
      </c>
      <c r="X480" s="8">
        <v>0</v>
      </c>
      <c r="Y480" s="20" t="str">
        <f t="shared" si="42"/>
        <v>Outlier</v>
      </c>
      <c r="Z480" s="20">
        <f t="shared" si="43"/>
        <v>2.2255850283824565</v>
      </c>
      <c r="AA480" s="20">
        <f t="shared" si="44"/>
        <v>-0.42667162496973438</v>
      </c>
      <c r="AB480" s="20">
        <f t="shared" si="45"/>
        <v>-0.10281678338612921</v>
      </c>
      <c r="AC480" s="20">
        <f t="shared" si="46"/>
        <v>-0.14805797547759933</v>
      </c>
      <c r="AD480" s="20"/>
    </row>
    <row r="481" spans="1:30" x14ac:dyDescent="0.45">
      <c r="A481" s="8" t="s">
        <v>27</v>
      </c>
      <c r="B481" s="8" t="s">
        <v>527</v>
      </c>
      <c r="C481" s="8">
        <v>46.5</v>
      </c>
      <c r="D481" s="8" t="s">
        <v>1009</v>
      </c>
      <c r="E481" s="8" t="s">
        <v>1014</v>
      </c>
      <c r="F481" s="8" t="s">
        <v>1017</v>
      </c>
      <c r="G481" s="8" t="s">
        <v>1022</v>
      </c>
      <c r="H481" s="8">
        <v>93876.19</v>
      </c>
      <c r="I481" s="8">
        <v>619</v>
      </c>
      <c r="J481" s="8">
        <v>0</v>
      </c>
      <c r="K481" s="8">
        <v>0</v>
      </c>
      <c r="L481" s="8">
        <v>6730.62</v>
      </c>
      <c r="M481" s="8">
        <v>16687.330000000002</v>
      </c>
      <c r="N481" s="8">
        <v>50523.21</v>
      </c>
      <c r="O481" s="8" t="str">
        <f t="shared" si="47"/>
        <v>Fraud</v>
      </c>
      <c r="P481" s="8">
        <v>1</v>
      </c>
      <c r="Q481" s="8" t="s">
        <v>1026</v>
      </c>
      <c r="R481" s="8" t="s">
        <v>1029</v>
      </c>
      <c r="S481" s="8">
        <v>1319</v>
      </c>
      <c r="T481" s="8">
        <v>138</v>
      </c>
      <c r="U481" s="8">
        <v>5773.06</v>
      </c>
      <c r="V481" s="8">
        <v>1.9</v>
      </c>
      <c r="W481" s="8">
        <v>2.7</v>
      </c>
      <c r="X481" s="8">
        <v>6571.32</v>
      </c>
      <c r="Y481" s="20" t="str">
        <f t="shared" si="42"/>
        <v>Outlier</v>
      </c>
      <c r="Z481" s="20">
        <f t="shared" si="43"/>
        <v>2.255376825702557</v>
      </c>
      <c r="AA481" s="20">
        <f t="shared" si="44"/>
        <v>-0.15980380527575647</v>
      </c>
      <c r="AB481" s="20">
        <f t="shared" si="45"/>
        <v>-0.5027324905694045</v>
      </c>
      <c r="AC481" s="20">
        <f t="shared" si="46"/>
        <v>0.14133626209064498</v>
      </c>
      <c r="AD481" s="20"/>
    </row>
    <row r="482" spans="1:30" x14ac:dyDescent="0.45">
      <c r="A482" s="8" t="s">
        <v>316</v>
      </c>
      <c r="B482" s="8" t="s">
        <v>812</v>
      </c>
      <c r="C482" s="8">
        <v>62.7</v>
      </c>
      <c r="D482" s="8" t="s">
        <v>1009</v>
      </c>
      <c r="E482" s="8" t="s">
        <v>1014</v>
      </c>
      <c r="F482" s="8" t="s">
        <v>1019</v>
      </c>
      <c r="G482" s="8" t="s">
        <v>1022</v>
      </c>
      <c r="H482" s="8">
        <v>70222.77</v>
      </c>
      <c r="I482" s="8">
        <v>610</v>
      </c>
      <c r="J482" s="8">
        <v>0</v>
      </c>
      <c r="K482" s="8">
        <v>0</v>
      </c>
      <c r="L482" s="8">
        <v>6734.63</v>
      </c>
      <c r="M482" s="8">
        <v>7230.46</v>
      </c>
      <c r="N482" s="8">
        <v>63694.81</v>
      </c>
      <c r="O482" s="8" t="str">
        <f t="shared" si="47"/>
        <v>Fraud</v>
      </c>
      <c r="P482" s="8">
        <v>1</v>
      </c>
      <c r="Q482" s="8" t="s">
        <v>1025</v>
      </c>
      <c r="R482" s="8" t="s">
        <v>1030</v>
      </c>
      <c r="S482" s="8">
        <v>4789</v>
      </c>
      <c r="T482" s="8">
        <v>189</v>
      </c>
      <c r="U482" s="8">
        <v>6439.33</v>
      </c>
      <c r="V482" s="8">
        <v>1.2</v>
      </c>
      <c r="W482" s="8">
        <v>1.2</v>
      </c>
      <c r="X482" s="8">
        <v>6314.13</v>
      </c>
      <c r="Y482" s="20" t="str">
        <f t="shared" si="42"/>
        <v>Outlier</v>
      </c>
      <c r="Z482" s="20">
        <f t="shared" si="43"/>
        <v>2.2572904106337375</v>
      </c>
      <c r="AA482" s="20">
        <f t="shared" si="44"/>
        <v>-0.63175302201365102</v>
      </c>
      <c r="AB482" s="20">
        <f t="shared" si="45"/>
        <v>0.18051664767056982</v>
      </c>
      <c r="AC482" s="20">
        <f t="shared" si="46"/>
        <v>-0.85143293173061396</v>
      </c>
      <c r="AD482" s="20"/>
    </row>
    <row r="483" spans="1:30" x14ac:dyDescent="0.45">
      <c r="A483" s="8" t="s">
        <v>179</v>
      </c>
      <c r="B483" s="8" t="s">
        <v>677</v>
      </c>
      <c r="C483" s="8">
        <v>78</v>
      </c>
      <c r="D483" s="8" t="s">
        <v>1009</v>
      </c>
      <c r="E483" s="8" t="s">
        <v>1014</v>
      </c>
      <c r="F483" s="8" t="s">
        <v>1019</v>
      </c>
      <c r="G483" s="8" t="s">
        <v>1022</v>
      </c>
      <c r="H483" s="8">
        <v>65462.04</v>
      </c>
      <c r="I483" s="8">
        <v>699</v>
      </c>
      <c r="J483" s="8">
        <v>1</v>
      </c>
      <c r="K483" s="8">
        <v>0</v>
      </c>
      <c r="L483" s="8">
        <v>6739.97</v>
      </c>
      <c r="M483" s="8">
        <v>10541.57</v>
      </c>
      <c r="N483" s="8">
        <v>46105.74</v>
      </c>
      <c r="O483" s="8" t="str">
        <f t="shared" si="47"/>
        <v>Fraud</v>
      </c>
      <c r="P483" s="8">
        <v>1</v>
      </c>
      <c r="Q483" s="8" t="s">
        <v>1027</v>
      </c>
      <c r="R483" s="8" t="s">
        <v>1026</v>
      </c>
      <c r="S483" s="8">
        <v>899</v>
      </c>
      <c r="T483" s="8">
        <v>89</v>
      </c>
      <c r="U483" s="8">
        <v>2890.08</v>
      </c>
      <c r="V483" s="8">
        <v>5</v>
      </c>
      <c r="W483" s="8">
        <v>3</v>
      </c>
      <c r="X483" s="8">
        <v>3426.97</v>
      </c>
      <c r="Y483" s="20" t="str">
        <f t="shared" si="42"/>
        <v>Outlier</v>
      </c>
      <c r="Z483" s="20">
        <f t="shared" si="43"/>
        <v>2.2598386758538136</v>
      </c>
      <c r="AA483" s="20">
        <f t="shared" si="44"/>
        <v>-0.4665106351527753</v>
      </c>
      <c r="AB483" s="20">
        <f t="shared" si="45"/>
        <v>-0.7318794864317858</v>
      </c>
      <c r="AC483" s="20">
        <f t="shared" si="46"/>
        <v>-1.0512478457726715</v>
      </c>
      <c r="AD483" s="20"/>
    </row>
    <row r="484" spans="1:30" x14ac:dyDescent="0.45">
      <c r="A484" s="8" t="s">
        <v>156</v>
      </c>
      <c r="B484" s="8" t="s">
        <v>654</v>
      </c>
      <c r="C484" s="8">
        <v>57.1</v>
      </c>
      <c r="D484" s="8" t="s">
        <v>1009</v>
      </c>
      <c r="E484" s="8" t="s">
        <v>1012</v>
      </c>
      <c r="F484" s="8" t="s">
        <v>1016</v>
      </c>
      <c r="G484" s="8" t="s">
        <v>1022</v>
      </c>
      <c r="H484" s="8">
        <v>19922.75</v>
      </c>
      <c r="I484" s="8">
        <v>423</v>
      </c>
      <c r="J484" s="8">
        <v>1</v>
      </c>
      <c r="K484" s="8">
        <v>0</v>
      </c>
      <c r="L484" s="8">
        <v>6753.2</v>
      </c>
      <c r="M484" s="8">
        <v>62801.49</v>
      </c>
      <c r="N484" s="8">
        <v>19922.75</v>
      </c>
      <c r="O484" s="8" t="str">
        <f t="shared" si="47"/>
        <v>Fraud</v>
      </c>
      <c r="P484" s="8">
        <v>1</v>
      </c>
      <c r="Q484" s="8" t="s">
        <v>1025</v>
      </c>
      <c r="R484" s="8" t="s">
        <v>1029</v>
      </c>
      <c r="S484" s="8">
        <v>3382</v>
      </c>
      <c r="T484" s="8">
        <v>57</v>
      </c>
      <c r="U484" s="8">
        <v>5599.16</v>
      </c>
      <c r="V484" s="8">
        <v>4</v>
      </c>
      <c r="W484" s="8">
        <v>6.3</v>
      </c>
      <c r="X484" s="8">
        <v>5431.38</v>
      </c>
      <c r="Y484" s="20" t="str">
        <f t="shared" si="42"/>
        <v>Outlier</v>
      </c>
      <c r="Z484" s="20">
        <f t="shared" si="43"/>
        <v>2.2661520745170347</v>
      </c>
      <c r="AA484" s="20">
        <f t="shared" si="44"/>
        <v>2.1415434367320052</v>
      </c>
      <c r="AB484" s="20">
        <f t="shared" si="45"/>
        <v>-2.0900672050115987</v>
      </c>
      <c r="AC484" s="20">
        <f t="shared" si="46"/>
        <v>-2.9625995327799846</v>
      </c>
      <c r="AD484" s="20"/>
    </row>
    <row r="485" spans="1:30" x14ac:dyDescent="0.45">
      <c r="A485" s="8" t="s">
        <v>418</v>
      </c>
      <c r="B485" s="8" t="s">
        <v>908</v>
      </c>
      <c r="C485" s="8">
        <v>43</v>
      </c>
      <c r="D485" s="8" t="s">
        <v>1009</v>
      </c>
      <c r="E485" s="8" t="s">
        <v>1011</v>
      </c>
      <c r="F485" s="8" t="s">
        <v>1017</v>
      </c>
      <c r="G485" s="8" t="s">
        <v>1022</v>
      </c>
      <c r="H485" s="8">
        <v>106443.45</v>
      </c>
      <c r="I485" s="8">
        <v>694</v>
      </c>
      <c r="J485" s="8">
        <v>1</v>
      </c>
      <c r="K485" s="8">
        <v>0</v>
      </c>
      <c r="L485" s="8">
        <v>7020.92</v>
      </c>
      <c r="M485" s="8">
        <v>7084.2</v>
      </c>
      <c r="N485" s="8">
        <v>69251.83</v>
      </c>
      <c r="O485" s="8" t="str">
        <f t="shared" si="47"/>
        <v>Fraud</v>
      </c>
      <c r="P485" s="8">
        <v>1</v>
      </c>
      <c r="Q485" s="8" t="s">
        <v>1026</v>
      </c>
      <c r="R485" s="8" t="s">
        <v>1030</v>
      </c>
      <c r="S485" s="8">
        <v>3168</v>
      </c>
      <c r="T485" s="8">
        <v>147</v>
      </c>
      <c r="U485" s="8">
        <v>2506.04</v>
      </c>
      <c r="V485" s="8">
        <v>3.8</v>
      </c>
      <c r="W485" s="8">
        <v>3.4</v>
      </c>
      <c r="X485" s="8">
        <v>6929.22</v>
      </c>
      <c r="Y485" s="20" t="str">
        <f t="shared" si="42"/>
        <v>Outlier</v>
      </c>
      <c r="Z485" s="20">
        <f t="shared" si="43"/>
        <v>2.3939089218426348</v>
      </c>
      <c r="AA485" s="20">
        <f t="shared" si="44"/>
        <v>-0.63905219102412525</v>
      </c>
      <c r="AB485" s="20">
        <f t="shared" si="45"/>
        <v>0.46877541093261127</v>
      </c>
      <c r="AC485" s="20">
        <f t="shared" si="46"/>
        <v>0.66880284319148153</v>
      </c>
      <c r="AD485" s="20"/>
    </row>
    <row r="486" spans="1:30" x14ac:dyDescent="0.45">
      <c r="A486" s="8" t="s">
        <v>498</v>
      </c>
      <c r="B486" s="8" t="s">
        <v>986</v>
      </c>
      <c r="C486" s="8">
        <v>46.3</v>
      </c>
      <c r="D486" s="8" t="s">
        <v>1010</v>
      </c>
      <c r="E486" s="8" t="s">
        <v>1013</v>
      </c>
      <c r="F486" s="8" t="s">
        <v>1016</v>
      </c>
      <c r="G486" s="8" t="s">
        <v>1020</v>
      </c>
      <c r="H486" s="8">
        <v>101084.67</v>
      </c>
      <c r="I486" s="8">
        <v>572</v>
      </c>
      <c r="J486" s="8">
        <v>0</v>
      </c>
      <c r="K486" s="8">
        <v>0</v>
      </c>
      <c r="L486" s="8">
        <v>7358.66</v>
      </c>
      <c r="M486" s="8">
        <v>5716.47</v>
      </c>
      <c r="N486" s="8">
        <v>68173.06</v>
      </c>
      <c r="O486" s="8" t="str">
        <f t="shared" si="47"/>
        <v>Not Fraud</v>
      </c>
      <c r="P486" s="8">
        <v>0</v>
      </c>
      <c r="Q486" s="8" t="s">
        <v>1024</v>
      </c>
      <c r="R486" s="8" t="s">
        <v>1029</v>
      </c>
      <c r="S486" s="8">
        <v>3339</v>
      </c>
      <c r="T486" s="8">
        <v>146</v>
      </c>
      <c r="U486" s="8">
        <v>8075.38</v>
      </c>
      <c r="V486" s="8">
        <v>0.6</v>
      </c>
      <c r="W486" s="8">
        <v>5.7</v>
      </c>
      <c r="X486" s="8">
        <v>0</v>
      </c>
      <c r="Y486" s="20" t="str">
        <f t="shared" si="42"/>
        <v>Outlier</v>
      </c>
      <c r="Z486" s="20">
        <f t="shared" si="43"/>
        <v>2.5550795389640601</v>
      </c>
      <c r="AA486" s="20">
        <f t="shared" si="44"/>
        <v>-0.70730935245374416</v>
      </c>
      <c r="AB486" s="20">
        <f t="shared" si="45"/>
        <v>0.41281647861921428</v>
      </c>
      <c r="AC486" s="20">
        <f t="shared" si="46"/>
        <v>0.44388688175903396</v>
      </c>
      <c r="AD486" s="20"/>
    </row>
    <row r="487" spans="1:30" x14ac:dyDescent="0.45">
      <c r="A487" s="8" t="s">
        <v>345</v>
      </c>
      <c r="B487" s="8" t="s">
        <v>840</v>
      </c>
      <c r="C487" s="8">
        <v>37.700000000000003</v>
      </c>
      <c r="D487" s="8" t="s">
        <v>1010</v>
      </c>
      <c r="E487" s="8" t="s">
        <v>1013</v>
      </c>
      <c r="F487" s="8" t="s">
        <v>1019</v>
      </c>
      <c r="G487" s="8" t="s">
        <v>1023</v>
      </c>
      <c r="H487" s="8">
        <v>121855.64</v>
      </c>
      <c r="I487" s="8">
        <v>588</v>
      </c>
      <c r="J487" s="8">
        <v>1</v>
      </c>
      <c r="K487" s="8">
        <v>0</v>
      </c>
      <c r="L487" s="8">
        <v>7500.63</v>
      </c>
      <c r="M487" s="8">
        <v>8287.31</v>
      </c>
      <c r="N487" s="8">
        <v>89682.32</v>
      </c>
      <c r="O487" s="8" t="str">
        <f t="shared" si="47"/>
        <v>Not Fraud</v>
      </c>
      <c r="P487" s="8">
        <v>0</v>
      </c>
      <c r="Q487" s="8" t="s">
        <v>1025</v>
      </c>
      <c r="R487" s="8" t="s">
        <v>1029</v>
      </c>
      <c r="S487" s="8">
        <v>4755</v>
      </c>
      <c r="T487" s="8">
        <v>55</v>
      </c>
      <c r="U487" s="8">
        <v>7899.72</v>
      </c>
      <c r="V487" s="8">
        <v>3.1</v>
      </c>
      <c r="W487" s="8">
        <v>6.3</v>
      </c>
      <c r="X487" s="8">
        <v>0</v>
      </c>
      <c r="Y487" s="20" t="str">
        <f t="shared" si="42"/>
        <v>Outlier</v>
      </c>
      <c r="Z487" s="20">
        <f t="shared" si="43"/>
        <v>2.6228280807794473</v>
      </c>
      <c r="AA487" s="20">
        <f t="shared" si="44"/>
        <v>-0.57901046240254883</v>
      </c>
      <c r="AB487" s="20">
        <f t="shared" si="45"/>
        <v>1.5285642510371102</v>
      </c>
      <c r="AC487" s="20">
        <f t="shared" si="46"/>
        <v>1.3156753648530457</v>
      </c>
      <c r="AD487" s="20"/>
    </row>
    <row r="488" spans="1:30" x14ac:dyDescent="0.45">
      <c r="A488" s="8" t="s">
        <v>32</v>
      </c>
      <c r="B488" s="8" t="s">
        <v>532</v>
      </c>
      <c r="C488" s="8">
        <v>58.1</v>
      </c>
      <c r="D488" s="8" t="s">
        <v>1010</v>
      </c>
      <c r="E488" s="8" t="s">
        <v>1014</v>
      </c>
      <c r="F488" s="8" t="s">
        <v>1017</v>
      </c>
      <c r="G488" s="8" t="s">
        <v>1022</v>
      </c>
      <c r="H488" s="8">
        <v>78057.440000000002</v>
      </c>
      <c r="I488" s="8">
        <v>667</v>
      </c>
      <c r="J488" s="8">
        <v>1</v>
      </c>
      <c r="K488" s="8">
        <v>1</v>
      </c>
      <c r="L488" s="8">
        <v>7582.99</v>
      </c>
      <c r="M488" s="8">
        <v>3284.42</v>
      </c>
      <c r="N488" s="8">
        <v>57807.8</v>
      </c>
      <c r="O488" s="8" t="str">
        <f t="shared" si="47"/>
        <v>Not Fraud</v>
      </c>
      <c r="P488" s="8">
        <v>0</v>
      </c>
      <c r="Q488" s="8" t="s">
        <v>1027</v>
      </c>
      <c r="R488" s="8" t="s">
        <v>1030</v>
      </c>
      <c r="S488" s="8">
        <v>812</v>
      </c>
      <c r="T488" s="8">
        <v>261</v>
      </c>
      <c r="U488" s="8">
        <v>8828.99</v>
      </c>
      <c r="V488" s="8">
        <v>0.9</v>
      </c>
      <c r="W488" s="8">
        <v>3.2</v>
      </c>
      <c r="X488" s="8">
        <v>0</v>
      </c>
      <c r="Y488" s="20" t="str">
        <f t="shared" si="42"/>
        <v>Outlier</v>
      </c>
      <c r="Z488" s="20">
        <f t="shared" si="43"/>
        <v>2.6621305383684821</v>
      </c>
      <c r="AA488" s="20">
        <f t="shared" si="44"/>
        <v>-0.82868186709837799</v>
      </c>
      <c r="AB488" s="20">
        <f t="shared" si="45"/>
        <v>-0.12485965508005335</v>
      </c>
      <c r="AC488" s="20">
        <f t="shared" si="46"/>
        <v>-0.52260018704694444</v>
      </c>
      <c r="AD488" s="20"/>
    </row>
    <row r="489" spans="1:30" x14ac:dyDescent="0.45">
      <c r="A489" s="8" t="s">
        <v>247</v>
      </c>
      <c r="B489" s="8" t="s">
        <v>745</v>
      </c>
      <c r="C489" s="8">
        <v>42.9</v>
      </c>
      <c r="D489" s="8" t="s">
        <v>1010</v>
      </c>
      <c r="E489" s="8" t="s">
        <v>1015</v>
      </c>
      <c r="F489" s="8" t="s">
        <v>1016</v>
      </c>
      <c r="G489" s="8" t="s">
        <v>1023</v>
      </c>
      <c r="H489" s="8">
        <v>96883.62</v>
      </c>
      <c r="I489" s="8">
        <v>686</v>
      </c>
      <c r="J489" s="8">
        <v>0</v>
      </c>
      <c r="K489" s="8">
        <v>1</v>
      </c>
      <c r="L489" s="8">
        <v>7721.46</v>
      </c>
      <c r="M489" s="8">
        <v>1917.49</v>
      </c>
      <c r="N489" s="8">
        <v>53427.63</v>
      </c>
      <c r="O489" s="8" t="str">
        <f t="shared" si="47"/>
        <v>Not Fraud</v>
      </c>
      <c r="P489" s="8">
        <v>0</v>
      </c>
      <c r="Q489" s="8" t="s">
        <v>1024</v>
      </c>
      <c r="R489" s="8" t="s">
        <v>1028</v>
      </c>
      <c r="S489" s="8">
        <v>971</v>
      </c>
      <c r="T489" s="8">
        <v>178</v>
      </c>
      <c r="U489" s="8">
        <v>1192.44</v>
      </c>
      <c r="V489" s="8">
        <v>4.2</v>
      </c>
      <c r="W489" s="8">
        <v>9.1</v>
      </c>
      <c r="X489" s="8">
        <v>0</v>
      </c>
      <c r="Y489" s="20" t="str">
        <f t="shared" si="42"/>
        <v>Outlier</v>
      </c>
      <c r="Z489" s="20">
        <f t="shared" si="43"/>
        <v>2.7282088688973025</v>
      </c>
      <c r="AA489" s="20">
        <f t="shared" si="44"/>
        <v>-0.89689910417951879</v>
      </c>
      <c r="AB489" s="20">
        <f t="shared" si="45"/>
        <v>-0.35207179163480695</v>
      </c>
      <c r="AC489" s="20">
        <f t="shared" si="46"/>
        <v>0.267562569177479</v>
      </c>
      <c r="AD489" s="20"/>
    </row>
    <row r="490" spans="1:30" x14ac:dyDescent="0.45">
      <c r="A490" s="8" t="s">
        <v>42</v>
      </c>
      <c r="B490" s="8" t="s">
        <v>542</v>
      </c>
      <c r="C490" s="8">
        <v>28.8</v>
      </c>
      <c r="D490" s="8" t="s">
        <v>1010</v>
      </c>
      <c r="E490" s="8" t="s">
        <v>1012</v>
      </c>
      <c r="F490" s="8" t="s">
        <v>1016</v>
      </c>
      <c r="G490" s="8" t="s">
        <v>1022</v>
      </c>
      <c r="H490" s="8">
        <v>93318.02</v>
      </c>
      <c r="I490" s="8">
        <v>676</v>
      </c>
      <c r="J490" s="8">
        <v>1</v>
      </c>
      <c r="K490" s="8">
        <v>0</v>
      </c>
      <c r="L490" s="8">
        <v>7967.4</v>
      </c>
      <c r="M490" s="8">
        <v>19890.080000000002</v>
      </c>
      <c r="N490" s="8">
        <v>67392.84</v>
      </c>
      <c r="O490" s="8" t="str">
        <f t="shared" si="47"/>
        <v>Not Fraud</v>
      </c>
      <c r="P490" s="8">
        <v>0</v>
      </c>
      <c r="Q490" s="8" t="s">
        <v>1025</v>
      </c>
      <c r="R490" s="8" t="s">
        <v>1029</v>
      </c>
      <c r="S490" s="8">
        <v>2176</v>
      </c>
      <c r="T490" s="8">
        <v>109</v>
      </c>
      <c r="U490" s="8">
        <v>7562.1</v>
      </c>
      <c r="V490" s="8">
        <v>2.6</v>
      </c>
      <c r="W490" s="8">
        <v>0.5</v>
      </c>
      <c r="X490" s="8">
        <v>0</v>
      </c>
      <c r="Y490" s="20" t="str">
        <f t="shared" si="42"/>
        <v>Outlier</v>
      </c>
      <c r="Z490" s="20">
        <f t="shared" si="43"/>
        <v>2.8455722299882109</v>
      </c>
      <c r="AA490" s="20">
        <f t="shared" si="44"/>
        <v>3.0828583786007081E-5</v>
      </c>
      <c r="AB490" s="20">
        <f t="shared" si="45"/>
        <v>0.37234420170239374</v>
      </c>
      <c r="AC490" s="20">
        <f t="shared" si="46"/>
        <v>0.11790903757447732</v>
      </c>
      <c r="AD490" s="20"/>
    </row>
    <row r="491" spans="1:30" x14ac:dyDescent="0.45">
      <c r="A491" s="8" t="s">
        <v>501</v>
      </c>
      <c r="B491" s="8" t="s">
        <v>989</v>
      </c>
      <c r="C491" s="8">
        <v>90</v>
      </c>
      <c r="D491" s="8" t="s">
        <v>1009</v>
      </c>
      <c r="E491" s="8" t="s">
        <v>1014</v>
      </c>
      <c r="F491" s="8" t="s">
        <v>1019</v>
      </c>
      <c r="G491" s="8" t="s">
        <v>1022</v>
      </c>
      <c r="H491" s="8">
        <v>43018.43</v>
      </c>
      <c r="I491" s="8">
        <v>506</v>
      </c>
      <c r="J491" s="8">
        <v>0</v>
      </c>
      <c r="K491" s="8">
        <v>0</v>
      </c>
      <c r="L491" s="8">
        <v>7971.49</v>
      </c>
      <c r="M491" s="8">
        <v>38972.559999999998</v>
      </c>
      <c r="N491" s="8">
        <v>29552.82</v>
      </c>
      <c r="O491" s="8" t="str">
        <f t="shared" si="47"/>
        <v>Fraud</v>
      </c>
      <c r="P491" s="8">
        <v>1</v>
      </c>
      <c r="Q491" s="8" t="s">
        <v>1027</v>
      </c>
      <c r="R491" s="8" t="s">
        <v>1030</v>
      </c>
      <c r="S491" s="8">
        <v>4617</v>
      </c>
      <c r="T491" s="8">
        <v>38</v>
      </c>
      <c r="U491" s="8">
        <v>9544.43</v>
      </c>
      <c r="V491" s="8">
        <v>7.7</v>
      </c>
      <c r="W491" s="8">
        <v>5.6</v>
      </c>
      <c r="X491" s="8">
        <v>4153.03</v>
      </c>
      <c r="Y491" s="20" t="str">
        <f t="shared" si="42"/>
        <v>Outlier</v>
      </c>
      <c r="Z491" s="20">
        <f t="shared" si="43"/>
        <v>2.8475239911773702</v>
      </c>
      <c r="AA491" s="20">
        <f t="shared" si="44"/>
        <v>0.95235030526227837</v>
      </c>
      <c r="AB491" s="20">
        <f t="shared" si="45"/>
        <v>-1.5905275113760018</v>
      </c>
      <c r="AC491" s="20">
        <f t="shared" si="46"/>
        <v>-1.9932395157357783</v>
      </c>
      <c r="AD491" s="20"/>
    </row>
    <row r="492" spans="1:30" x14ac:dyDescent="0.45">
      <c r="A492" s="8" t="s">
        <v>151</v>
      </c>
      <c r="B492" s="8" t="s">
        <v>649</v>
      </c>
      <c r="C492" s="8">
        <v>51.5</v>
      </c>
      <c r="D492" s="8" t="s">
        <v>1009</v>
      </c>
      <c r="E492" s="8" t="s">
        <v>1012</v>
      </c>
      <c r="F492" s="8" t="s">
        <v>1016</v>
      </c>
      <c r="G492" s="8" t="s">
        <v>1023</v>
      </c>
      <c r="H492" s="8">
        <v>82850.41</v>
      </c>
      <c r="I492" s="8">
        <v>547</v>
      </c>
      <c r="J492" s="8">
        <v>0</v>
      </c>
      <c r="K492" s="8">
        <v>0</v>
      </c>
      <c r="L492" s="8">
        <v>8343.65</v>
      </c>
      <c r="M492" s="8">
        <v>10738.02</v>
      </c>
      <c r="N492" s="8">
        <v>44617.15</v>
      </c>
      <c r="O492" s="8" t="str">
        <f t="shared" si="47"/>
        <v>Fraud</v>
      </c>
      <c r="P492" s="8">
        <v>1</v>
      </c>
      <c r="Q492" s="8" t="s">
        <v>1026</v>
      </c>
      <c r="R492" s="8" t="s">
        <v>1026</v>
      </c>
      <c r="S492" s="8">
        <v>3205</v>
      </c>
      <c r="T492" s="8">
        <v>61</v>
      </c>
      <c r="U492" s="8">
        <v>5198.78</v>
      </c>
      <c r="V492" s="8">
        <v>4.5</v>
      </c>
      <c r="W492" s="8">
        <v>5.4</v>
      </c>
      <c r="X492" s="8">
        <v>7597.73</v>
      </c>
      <c r="Y492" s="20" t="str">
        <f t="shared" si="42"/>
        <v>Outlier</v>
      </c>
      <c r="Z492" s="20">
        <f t="shared" si="43"/>
        <v>3.0251199432941158</v>
      </c>
      <c r="AA492" s="20">
        <f t="shared" si="44"/>
        <v>-0.45670671232966792</v>
      </c>
      <c r="AB492" s="20">
        <f t="shared" si="45"/>
        <v>-0.80909697213531762</v>
      </c>
      <c r="AC492" s="20">
        <f t="shared" si="46"/>
        <v>-0.3214321122861073</v>
      </c>
      <c r="AD492" s="20"/>
    </row>
    <row r="493" spans="1:30" x14ac:dyDescent="0.45">
      <c r="A493" s="8" t="s">
        <v>462</v>
      </c>
      <c r="B493" s="8" t="s">
        <v>864</v>
      </c>
      <c r="C493" s="8">
        <v>49.2</v>
      </c>
      <c r="D493" s="8" t="s">
        <v>1010</v>
      </c>
      <c r="E493" s="8" t="s">
        <v>1012</v>
      </c>
      <c r="F493" s="8" t="s">
        <v>1016</v>
      </c>
      <c r="G493" s="8" t="s">
        <v>1021</v>
      </c>
      <c r="H493" s="8">
        <v>102412</v>
      </c>
      <c r="I493" s="8">
        <v>671</v>
      </c>
      <c r="J493" s="8">
        <v>1</v>
      </c>
      <c r="K493" s="8">
        <v>0</v>
      </c>
      <c r="L493" s="8">
        <v>8528.01</v>
      </c>
      <c r="M493" s="8">
        <v>37142.53</v>
      </c>
      <c r="N493" s="8">
        <v>93489.85</v>
      </c>
      <c r="O493" s="8" t="str">
        <f t="shared" si="47"/>
        <v>Not Fraud</v>
      </c>
      <c r="P493" s="8">
        <v>0</v>
      </c>
      <c r="Q493" s="8" t="s">
        <v>1024</v>
      </c>
      <c r="R493" s="8" t="s">
        <v>1029</v>
      </c>
      <c r="S493" s="8">
        <v>4860</v>
      </c>
      <c r="T493" s="8">
        <v>10</v>
      </c>
      <c r="U493" s="8">
        <v>1539.82</v>
      </c>
      <c r="V493" s="8">
        <v>6.2</v>
      </c>
      <c r="W493" s="8">
        <v>5.6</v>
      </c>
      <c r="X493" s="8">
        <v>0</v>
      </c>
      <c r="Y493" s="20" t="str">
        <f t="shared" si="42"/>
        <v>Outlier</v>
      </c>
      <c r="Z493" s="20">
        <f t="shared" si="43"/>
        <v>3.113097129805948</v>
      </c>
      <c r="AA493" s="20">
        <f t="shared" si="44"/>
        <v>0.86102186095598587</v>
      </c>
      <c r="AB493" s="20">
        <f t="shared" si="45"/>
        <v>1.7260718880229622</v>
      </c>
      <c r="AC493" s="20">
        <f t="shared" si="46"/>
        <v>0.49959689468886709</v>
      </c>
      <c r="AD493" s="20"/>
    </row>
    <row r="494" spans="1:30" x14ac:dyDescent="0.45">
      <c r="A494" s="8" t="s">
        <v>46</v>
      </c>
      <c r="B494" s="8" t="s">
        <v>546</v>
      </c>
      <c r="C494" s="8">
        <v>28.6</v>
      </c>
      <c r="D494" s="8" t="s">
        <v>1010</v>
      </c>
      <c r="E494" s="8" t="s">
        <v>1014</v>
      </c>
      <c r="F494" s="8" t="s">
        <v>1017</v>
      </c>
      <c r="G494" s="8" t="s">
        <v>1020</v>
      </c>
      <c r="H494" s="8">
        <v>79910.64</v>
      </c>
      <c r="I494" s="8">
        <v>560</v>
      </c>
      <c r="J494" s="8">
        <v>1</v>
      </c>
      <c r="K494" s="8">
        <v>1</v>
      </c>
      <c r="L494" s="8">
        <v>8562.81</v>
      </c>
      <c r="M494" s="8">
        <v>56563.78</v>
      </c>
      <c r="N494" s="8">
        <v>37464.65</v>
      </c>
      <c r="O494" s="8" t="str">
        <f t="shared" si="47"/>
        <v>Fraud</v>
      </c>
      <c r="P494" s="8">
        <v>1</v>
      </c>
      <c r="Q494" s="8" t="s">
        <v>1025</v>
      </c>
      <c r="R494" s="8" t="s">
        <v>1028</v>
      </c>
      <c r="S494" s="8">
        <v>4647</v>
      </c>
      <c r="T494" s="8">
        <v>169</v>
      </c>
      <c r="U494" s="8">
        <v>6857.55</v>
      </c>
      <c r="V494" s="8">
        <v>1.7</v>
      </c>
      <c r="W494" s="8">
        <v>6</v>
      </c>
      <c r="X494" s="8">
        <v>5795.27</v>
      </c>
      <c r="Y494" s="20" t="str">
        <f t="shared" si="42"/>
        <v>Outlier</v>
      </c>
      <c r="Z494" s="20">
        <f t="shared" si="43"/>
        <v>3.1297038020266665</v>
      </c>
      <c r="AA494" s="20">
        <f t="shared" si="44"/>
        <v>1.8302478020518065</v>
      </c>
      <c r="AB494" s="20">
        <f t="shared" si="45"/>
        <v>-1.1801179157762889</v>
      </c>
      <c r="AC494" s="20">
        <f t="shared" si="46"/>
        <v>-0.44481862860890231</v>
      </c>
      <c r="AD494" s="20"/>
    </row>
    <row r="495" spans="1:30" x14ac:dyDescent="0.45">
      <c r="A495" s="8" t="s">
        <v>402</v>
      </c>
      <c r="B495" s="8" t="s">
        <v>590</v>
      </c>
      <c r="C495" s="8">
        <v>37.9</v>
      </c>
      <c r="D495" s="8" t="s">
        <v>1009</v>
      </c>
      <c r="E495" s="8" t="s">
        <v>1013</v>
      </c>
      <c r="F495" s="8" t="s">
        <v>1019</v>
      </c>
      <c r="G495" s="8" t="s">
        <v>1020</v>
      </c>
      <c r="H495" s="8">
        <v>59105.26</v>
      </c>
      <c r="I495" s="8">
        <v>744</v>
      </c>
      <c r="J495" s="8">
        <v>0</v>
      </c>
      <c r="K495" s="8">
        <v>1</v>
      </c>
      <c r="L495" s="8">
        <v>8620.4500000000007</v>
      </c>
      <c r="M495" s="8">
        <v>36508.870000000003</v>
      </c>
      <c r="N495" s="8">
        <v>38578.93</v>
      </c>
      <c r="O495" s="8" t="str">
        <f t="shared" si="47"/>
        <v>Fraud</v>
      </c>
      <c r="P495" s="8">
        <v>1</v>
      </c>
      <c r="Q495" s="8" t="s">
        <v>1026</v>
      </c>
      <c r="R495" s="8" t="s">
        <v>1030</v>
      </c>
      <c r="S495" s="8">
        <v>3205</v>
      </c>
      <c r="T495" s="8">
        <v>234</v>
      </c>
      <c r="U495" s="8">
        <v>4052.4</v>
      </c>
      <c r="V495" s="8">
        <v>0.5</v>
      </c>
      <c r="W495" s="8">
        <v>2.2999999999999998</v>
      </c>
      <c r="X495" s="8">
        <v>7091.7</v>
      </c>
      <c r="Y495" s="20" t="str">
        <f t="shared" si="42"/>
        <v>Outlier</v>
      </c>
      <c r="Z495" s="20">
        <f t="shared" si="43"/>
        <v>3.1572097959002945</v>
      </c>
      <c r="AA495" s="20">
        <f t="shared" si="44"/>
        <v>0.82939878263534361</v>
      </c>
      <c r="AB495" s="20">
        <f t="shared" si="45"/>
        <v>-1.1223169766528689</v>
      </c>
      <c r="AC495" s="20">
        <f t="shared" si="46"/>
        <v>-1.318051350546996</v>
      </c>
      <c r="AD495" s="20"/>
    </row>
    <row r="496" spans="1:30" x14ac:dyDescent="0.45">
      <c r="A496" s="8" t="s">
        <v>168</v>
      </c>
      <c r="B496" s="8" t="s">
        <v>666</v>
      </c>
      <c r="C496" s="8">
        <v>61.7</v>
      </c>
      <c r="D496" s="8" t="s">
        <v>1009</v>
      </c>
      <c r="E496" s="8" t="s">
        <v>1014</v>
      </c>
      <c r="F496" s="8" t="s">
        <v>1019</v>
      </c>
      <c r="G496" s="8" t="s">
        <v>1022</v>
      </c>
      <c r="H496" s="8">
        <v>63203.95</v>
      </c>
      <c r="I496" s="8">
        <v>653</v>
      </c>
      <c r="J496" s="8">
        <v>0</v>
      </c>
      <c r="K496" s="8">
        <v>0</v>
      </c>
      <c r="L496" s="8">
        <v>8848.0300000000007</v>
      </c>
      <c r="M496" s="8">
        <v>51132.59</v>
      </c>
      <c r="N496" s="8">
        <v>50167.28</v>
      </c>
      <c r="O496" s="8" t="str">
        <f t="shared" si="47"/>
        <v>Fraud</v>
      </c>
      <c r="P496" s="8">
        <v>1</v>
      </c>
      <c r="Q496" s="8" t="s">
        <v>1024</v>
      </c>
      <c r="R496" s="8" t="s">
        <v>1028</v>
      </c>
      <c r="S496" s="8">
        <v>1915</v>
      </c>
      <c r="T496" s="8">
        <v>125</v>
      </c>
      <c r="U496" s="8">
        <v>4705.08</v>
      </c>
      <c r="V496" s="8">
        <v>4.3</v>
      </c>
      <c r="W496" s="8">
        <v>8.8000000000000007</v>
      </c>
      <c r="X496" s="8">
        <v>4994.7299999999996</v>
      </c>
      <c r="Y496" s="20" t="str">
        <f t="shared" si="42"/>
        <v>Outlier</v>
      </c>
      <c r="Z496" s="20">
        <f t="shared" si="43"/>
        <v>3.2658117057850995</v>
      </c>
      <c r="AA496" s="20">
        <f t="shared" si="44"/>
        <v>1.5592018992896148</v>
      </c>
      <c r="AB496" s="20">
        <f t="shared" si="45"/>
        <v>-0.52119561317969898</v>
      </c>
      <c r="AC496" s="20">
        <f t="shared" si="46"/>
        <v>-1.1460232393045942</v>
      </c>
      <c r="AD496" s="20"/>
    </row>
    <row r="497" spans="1:30" x14ac:dyDescent="0.45">
      <c r="A497" s="8" t="s">
        <v>352</v>
      </c>
      <c r="B497" s="8" t="s">
        <v>847</v>
      </c>
      <c r="C497" s="8">
        <v>59.4</v>
      </c>
      <c r="D497" s="8" t="s">
        <v>1010</v>
      </c>
      <c r="E497" s="8" t="s">
        <v>1013</v>
      </c>
      <c r="F497" s="8" t="s">
        <v>1016</v>
      </c>
      <c r="G497" s="8" t="s">
        <v>1022</v>
      </c>
      <c r="H497" s="8">
        <v>59968.6</v>
      </c>
      <c r="I497" s="8">
        <v>772</v>
      </c>
      <c r="J497" s="8">
        <v>0</v>
      </c>
      <c r="K497" s="8">
        <v>0</v>
      </c>
      <c r="L497" s="8">
        <v>9042.64</v>
      </c>
      <c r="M497" s="8">
        <v>41667.17</v>
      </c>
      <c r="N497" s="8">
        <v>50958.19</v>
      </c>
      <c r="O497" s="8" t="str">
        <f t="shared" si="47"/>
        <v>Fraud</v>
      </c>
      <c r="P497" s="8">
        <v>1</v>
      </c>
      <c r="Q497" s="8" t="s">
        <v>1025</v>
      </c>
      <c r="R497" s="8" t="s">
        <v>1028</v>
      </c>
      <c r="S497" s="8">
        <v>1453</v>
      </c>
      <c r="T497" s="8">
        <v>112</v>
      </c>
      <c r="U497" s="8">
        <v>8266.27</v>
      </c>
      <c r="V497" s="8">
        <v>3.1</v>
      </c>
      <c r="W497" s="8">
        <v>9.3000000000000007</v>
      </c>
      <c r="X497" s="8">
        <v>5484.63</v>
      </c>
      <c r="Y497" s="20" t="str">
        <f t="shared" si="42"/>
        <v>Outlier</v>
      </c>
      <c r="Z497" s="20">
        <f t="shared" si="43"/>
        <v>3.3586802253504469</v>
      </c>
      <c r="AA497" s="20">
        <f t="shared" si="44"/>
        <v>1.0868259910773628</v>
      </c>
      <c r="AB497" s="20">
        <f t="shared" si="45"/>
        <v>-0.48016881492243479</v>
      </c>
      <c r="AC497" s="20">
        <f t="shared" si="46"/>
        <v>-1.2818156875522306</v>
      </c>
      <c r="AD497" s="20"/>
    </row>
    <row r="498" spans="1:30" x14ac:dyDescent="0.45">
      <c r="A498" s="8" t="s">
        <v>118</v>
      </c>
      <c r="B498" s="8" t="s">
        <v>618</v>
      </c>
      <c r="C498" s="8">
        <v>28</v>
      </c>
      <c r="D498" s="8" t="s">
        <v>1010</v>
      </c>
      <c r="E498" s="8" t="s">
        <v>1012</v>
      </c>
      <c r="F498" s="8" t="s">
        <v>1019</v>
      </c>
      <c r="G498" s="8" t="s">
        <v>1021</v>
      </c>
      <c r="H498" s="8">
        <v>108534.83</v>
      </c>
      <c r="I498" s="8">
        <v>666</v>
      </c>
      <c r="J498" s="8">
        <v>0</v>
      </c>
      <c r="K498" s="8">
        <v>0</v>
      </c>
      <c r="L498" s="8">
        <v>10872.94</v>
      </c>
      <c r="M498" s="8">
        <v>16695.060000000001</v>
      </c>
      <c r="N498" s="8">
        <v>68141.05</v>
      </c>
      <c r="O498" s="8" t="str">
        <f t="shared" si="47"/>
        <v>Not Fraud</v>
      </c>
      <c r="P498" s="8">
        <v>0</v>
      </c>
      <c r="Q498" s="8" t="s">
        <v>1026</v>
      </c>
      <c r="R498" s="8" t="s">
        <v>1030</v>
      </c>
      <c r="S498" s="8">
        <v>1002</v>
      </c>
      <c r="T498" s="8">
        <v>292</v>
      </c>
      <c r="U498" s="8">
        <v>4079.75</v>
      </c>
      <c r="V498" s="8">
        <v>1</v>
      </c>
      <c r="W498" s="8">
        <v>5</v>
      </c>
      <c r="X498" s="8">
        <v>0</v>
      </c>
      <c r="Y498" s="20" t="str">
        <f t="shared" si="42"/>
        <v>Outlier</v>
      </c>
      <c r="Z498" s="20">
        <f t="shared" si="43"/>
        <v>4.2321052875798113</v>
      </c>
      <c r="AA498" s="20">
        <f t="shared" si="44"/>
        <v>-0.15941803625858866</v>
      </c>
      <c r="AB498" s="20">
        <f t="shared" si="45"/>
        <v>0.41115602697210551</v>
      </c>
      <c r="AC498" s="20">
        <f t="shared" si="46"/>
        <v>0.756581170239913</v>
      </c>
      <c r="AD498" s="20"/>
    </row>
    <row r="499" spans="1:30" x14ac:dyDescent="0.45">
      <c r="A499" s="8" t="s">
        <v>65</v>
      </c>
      <c r="B499" s="8" t="s">
        <v>565</v>
      </c>
      <c r="C499" s="8">
        <v>48.3</v>
      </c>
      <c r="D499" s="8" t="s">
        <v>1009</v>
      </c>
      <c r="E499" s="8" t="s">
        <v>1013</v>
      </c>
      <c r="F499" s="8" t="s">
        <v>1017</v>
      </c>
      <c r="G499" s="8" t="s">
        <v>1022</v>
      </c>
      <c r="H499" s="8">
        <v>53580.86</v>
      </c>
      <c r="I499" s="8">
        <v>641</v>
      </c>
      <c r="J499" s="8">
        <v>1</v>
      </c>
      <c r="K499" s="8">
        <v>0</v>
      </c>
      <c r="L499" s="8">
        <v>11158.44</v>
      </c>
      <c r="M499" s="8">
        <v>6579.38</v>
      </c>
      <c r="N499" s="8">
        <v>15000</v>
      </c>
      <c r="O499" s="8" t="str">
        <f t="shared" si="47"/>
        <v>Fraud</v>
      </c>
      <c r="P499" s="8">
        <v>1</v>
      </c>
      <c r="Q499" s="8" t="s">
        <v>1026</v>
      </c>
      <c r="R499" s="8" t="s">
        <v>1030</v>
      </c>
      <c r="S499" s="8">
        <v>3379</v>
      </c>
      <c r="T499" s="8">
        <v>43</v>
      </c>
      <c r="U499" s="8">
        <v>8359.4699999999993</v>
      </c>
      <c r="V499" s="8">
        <v>3.2</v>
      </c>
      <c r="W499" s="8">
        <v>5.0999999999999996</v>
      </c>
      <c r="X499" s="8">
        <v>10218.89</v>
      </c>
      <c r="Y499" s="20" t="str">
        <f t="shared" si="42"/>
        <v>Outlier</v>
      </c>
      <c r="Z499" s="20">
        <f t="shared" si="43"/>
        <v>4.3683468082411689</v>
      </c>
      <c r="AA499" s="20">
        <f t="shared" si="44"/>
        <v>-0.6642454530223999</v>
      </c>
      <c r="AB499" s="20">
        <f t="shared" si="45"/>
        <v>-2.3454245416503392</v>
      </c>
      <c r="AC499" s="20">
        <f t="shared" si="46"/>
        <v>-1.5499186295428522</v>
      </c>
      <c r="AD499" s="20"/>
    </row>
    <row r="500" spans="1:30" x14ac:dyDescent="0.45">
      <c r="A500" s="8" t="s">
        <v>23</v>
      </c>
      <c r="B500" s="8" t="s">
        <v>523</v>
      </c>
      <c r="C500" s="8">
        <v>57.5</v>
      </c>
      <c r="D500" s="8" t="s">
        <v>1009</v>
      </c>
      <c r="E500" s="8" t="s">
        <v>1011</v>
      </c>
      <c r="F500" s="8" t="s">
        <v>1016</v>
      </c>
      <c r="G500" s="8" t="s">
        <v>1020</v>
      </c>
      <c r="H500" s="8">
        <v>89963.839999999997</v>
      </c>
      <c r="I500" s="8">
        <v>430</v>
      </c>
      <c r="J500" s="8">
        <v>0</v>
      </c>
      <c r="K500" s="8">
        <v>0</v>
      </c>
      <c r="L500" s="8">
        <v>14678</v>
      </c>
      <c r="M500" s="8">
        <v>8477.09</v>
      </c>
      <c r="N500" s="8">
        <v>59471.88</v>
      </c>
      <c r="O500" s="8" t="str">
        <f t="shared" si="47"/>
        <v>Not Fraud</v>
      </c>
      <c r="P500" s="8">
        <v>0</v>
      </c>
      <c r="Q500" s="8" t="s">
        <v>1024</v>
      </c>
      <c r="R500" s="8" t="s">
        <v>1028</v>
      </c>
      <c r="S500" s="8">
        <v>574</v>
      </c>
      <c r="T500" s="8">
        <v>8</v>
      </c>
      <c r="U500" s="8">
        <v>3735.04</v>
      </c>
      <c r="V500" s="8">
        <v>3.4</v>
      </c>
      <c r="W500" s="8">
        <v>1.9</v>
      </c>
      <c r="X500" s="8">
        <v>0</v>
      </c>
      <c r="Y500" s="20" t="str">
        <f t="shared" si="42"/>
        <v>Outlier</v>
      </c>
      <c r="Z500" s="20">
        <f t="shared" si="43"/>
        <v>6.0478921898835107</v>
      </c>
      <c r="AA500" s="20">
        <f t="shared" si="44"/>
        <v>-0.56953940883487608</v>
      </c>
      <c r="AB500" s="20">
        <f t="shared" si="45"/>
        <v>-3.8538993508006464E-2</v>
      </c>
      <c r="AC500" s="20">
        <f t="shared" si="46"/>
        <v>-2.2870882391912227E-2</v>
      </c>
      <c r="AD500" s="20"/>
    </row>
    <row r="501" spans="1:30" x14ac:dyDescent="0.45">
      <c r="A501" s="8" t="s">
        <v>358</v>
      </c>
      <c r="B501" s="8" t="s">
        <v>853</v>
      </c>
      <c r="C501" s="8">
        <v>47.8</v>
      </c>
      <c r="D501" s="8" t="s">
        <v>1009</v>
      </c>
      <c r="E501" s="8" t="s">
        <v>1012</v>
      </c>
      <c r="F501" s="8" t="s">
        <v>1019</v>
      </c>
      <c r="G501" s="8" t="s">
        <v>1023</v>
      </c>
      <c r="H501" s="8">
        <v>86912.7</v>
      </c>
      <c r="I501" s="8">
        <v>708</v>
      </c>
      <c r="J501" s="8">
        <v>0</v>
      </c>
      <c r="K501" s="8">
        <v>1</v>
      </c>
      <c r="L501" s="8">
        <v>15050.41</v>
      </c>
      <c r="M501" s="8">
        <v>23444.5</v>
      </c>
      <c r="N501" s="8">
        <v>55059.49</v>
      </c>
      <c r="O501" s="8" t="str">
        <f t="shared" si="47"/>
        <v>Fraud</v>
      </c>
      <c r="P501" s="8">
        <v>1</v>
      </c>
      <c r="Q501" s="8" t="s">
        <v>1025</v>
      </c>
      <c r="R501" s="8" t="s">
        <v>1030</v>
      </c>
      <c r="S501" s="8">
        <v>1274</v>
      </c>
      <c r="T501" s="8">
        <v>41</v>
      </c>
      <c r="U501" s="8">
        <v>5868.73</v>
      </c>
      <c r="V501" s="8">
        <v>6.8</v>
      </c>
      <c r="W501" s="8">
        <v>10.5</v>
      </c>
      <c r="X501" s="8">
        <v>8190.71</v>
      </c>
      <c r="Y501" s="20" t="str">
        <f t="shared" si="42"/>
        <v>Outlier</v>
      </c>
      <c r="Z501" s="20">
        <f t="shared" si="43"/>
        <v>6.2256074428064405</v>
      </c>
      <c r="AA501" s="20">
        <f t="shared" si="44"/>
        <v>0.17741570697986273</v>
      </c>
      <c r="AB501" s="20">
        <f t="shared" si="45"/>
        <v>-0.26742247501964367</v>
      </c>
      <c r="AC501" s="20">
        <f t="shared" si="46"/>
        <v>-0.15093176314555359</v>
      </c>
      <c r="AD501" s="20"/>
    </row>
  </sheetData>
  <autoFilter ref="A1:AP5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1965-F555-4ACD-8C41-CEEC454935D1}">
  <dimension ref="A1:K16"/>
  <sheetViews>
    <sheetView showGridLines="0" showRowColHeaders="0" workbookViewId="0">
      <selection activeCell="D22" sqref="D22"/>
    </sheetView>
  </sheetViews>
  <sheetFormatPr defaultRowHeight="14.25" x14ac:dyDescent="0.45"/>
  <cols>
    <col min="1" max="1" width="19.33203125" style="11" bestFit="1" customWidth="1"/>
    <col min="2" max="8" width="9.1328125" style="11"/>
  </cols>
  <sheetData>
    <row r="1" spans="1:11" x14ac:dyDescent="0.45">
      <c r="A1" s="27" t="s">
        <v>1031</v>
      </c>
      <c r="B1" s="27" t="s">
        <v>1032</v>
      </c>
      <c r="C1" s="27" t="s">
        <v>1084</v>
      </c>
      <c r="D1" s="27" t="s">
        <v>1033</v>
      </c>
      <c r="E1" s="27" t="s">
        <v>1034</v>
      </c>
      <c r="F1" s="27" t="s">
        <v>1035</v>
      </c>
      <c r="G1" s="27" t="s">
        <v>1039</v>
      </c>
      <c r="H1" s="27" t="s">
        <v>1040</v>
      </c>
      <c r="I1" s="17" t="s">
        <v>1078</v>
      </c>
      <c r="J1" s="17" t="s">
        <v>1079</v>
      </c>
      <c r="K1" s="17" t="s">
        <v>1080</v>
      </c>
    </row>
    <row r="2" spans="1:11" x14ac:dyDescent="0.45">
      <c r="A2" s="25" t="s">
        <v>2</v>
      </c>
      <c r="B2" s="25">
        <v>500</v>
      </c>
      <c r="C2" s="25">
        <v>0</v>
      </c>
      <c r="D2" s="25">
        <v>50.107399999999998</v>
      </c>
      <c r="E2" s="25">
        <v>50.2</v>
      </c>
      <c r="F2" s="25">
        <v>14.41939677124161</v>
      </c>
      <c r="G2" s="25">
        <v>18</v>
      </c>
      <c r="H2" s="25">
        <v>90</v>
      </c>
      <c r="I2" s="26">
        <v>39.5</v>
      </c>
      <c r="J2" s="26">
        <v>59.55</v>
      </c>
      <c r="K2" s="26">
        <v>20.05</v>
      </c>
    </row>
    <row r="3" spans="1:11" x14ac:dyDescent="0.45">
      <c r="A3" s="25" t="s">
        <v>7</v>
      </c>
      <c r="B3" s="25">
        <v>500</v>
      </c>
      <c r="C3" s="25">
        <v>0</v>
      </c>
      <c r="D3" s="25">
        <v>60214.830379999992</v>
      </c>
      <c r="E3" s="25">
        <v>60076.28</v>
      </c>
      <c r="F3" s="25">
        <v>19277.887468588069</v>
      </c>
      <c r="G3" s="25">
        <v>15000</v>
      </c>
      <c r="H3" s="25">
        <v>122754.97</v>
      </c>
      <c r="I3" s="26">
        <v>47652.945</v>
      </c>
      <c r="J3" s="26">
        <v>72930.482499999998</v>
      </c>
      <c r="K3" s="26">
        <v>25277.537499999999</v>
      </c>
    </row>
    <row r="4" spans="1:11" x14ac:dyDescent="0.45">
      <c r="A4" s="25" t="s">
        <v>8</v>
      </c>
      <c r="B4" s="25">
        <v>500</v>
      </c>
      <c r="C4" s="25">
        <v>0</v>
      </c>
      <c r="D4" s="25">
        <v>90508.754759999996</v>
      </c>
      <c r="E4" s="25">
        <v>90760.209999999992</v>
      </c>
      <c r="F4" s="25">
        <v>23825.699011626089</v>
      </c>
      <c r="G4" s="25">
        <v>19922.75</v>
      </c>
      <c r="H4" s="25">
        <v>157694.98000000001</v>
      </c>
      <c r="I4" s="26">
        <v>72906.282500000001</v>
      </c>
      <c r="J4" s="26">
        <v>106926.405</v>
      </c>
      <c r="K4" s="26">
        <v>34020.122499999998</v>
      </c>
    </row>
    <row r="5" spans="1:11" x14ac:dyDescent="0.45">
      <c r="A5" s="25" t="s">
        <v>9</v>
      </c>
      <c r="B5" s="25">
        <v>500</v>
      </c>
      <c r="C5" s="25">
        <v>0</v>
      </c>
      <c r="D5" s="25">
        <v>648.60599999999999</v>
      </c>
      <c r="E5" s="25">
        <v>653</v>
      </c>
      <c r="F5" s="25">
        <v>82.756365289879568</v>
      </c>
      <c r="G5" s="25">
        <v>411</v>
      </c>
      <c r="H5" s="25">
        <v>850</v>
      </c>
      <c r="I5" s="26">
        <v>591</v>
      </c>
      <c r="J5" s="26">
        <v>707.25</v>
      </c>
      <c r="K5" s="26">
        <v>116.25</v>
      </c>
    </row>
    <row r="6" spans="1:11" x14ac:dyDescent="0.45">
      <c r="A6" s="25" t="s">
        <v>10</v>
      </c>
      <c r="B6" s="25">
        <v>500</v>
      </c>
      <c r="C6" s="25">
        <v>0</v>
      </c>
      <c r="D6" s="25">
        <v>19889.46226</v>
      </c>
      <c r="E6" s="25">
        <v>13875.7</v>
      </c>
      <c r="F6" s="25">
        <v>20037.897436011732</v>
      </c>
      <c r="G6" s="25">
        <v>4.54</v>
      </c>
      <c r="H6" s="25">
        <v>115848.45</v>
      </c>
      <c r="I6" s="26">
        <v>5612.2624999999998</v>
      </c>
      <c r="J6" s="26">
        <v>27839.452499999999</v>
      </c>
      <c r="K6" s="26">
        <v>22227.19</v>
      </c>
    </row>
    <row r="7" spans="1:11" x14ac:dyDescent="0.45">
      <c r="A7" s="25" t="s">
        <v>11</v>
      </c>
      <c r="B7" s="25">
        <v>500</v>
      </c>
      <c r="C7" s="25">
        <v>0</v>
      </c>
      <c r="D7" s="25">
        <v>0.38600000000000001</v>
      </c>
      <c r="E7" s="25">
        <v>0</v>
      </c>
      <c r="F7" s="25">
        <v>0.48731812803940677</v>
      </c>
      <c r="G7" s="25">
        <v>0</v>
      </c>
      <c r="H7" s="25">
        <v>1</v>
      </c>
      <c r="I7" s="26">
        <v>0</v>
      </c>
      <c r="J7" s="26">
        <v>1</v>
      </c>
      <c r="K7" s="26">
        <v>1</v>
      </c>
    </row>
    <row r="8" spans="1:11" x14ac:dyDescent="0.45">
      <c r="A8" s="25" t="s">
        <v>12</v>
      </c>
      <c r="B8" s="25">
        <v>500</v>
      </c>
      <c r="C8" s="25">
        <v>0</v>
      </c>
      <c r="D8" s="25">
        <v>0.496</v>
      </c>
      <c r="E8" s="25">
        <v>0</v>
      </c>
      <c r="F8" s="25">
        <v>0.50048473497188684</v>
      </c>
      <c r="G8" s="25">
        <v>0</v>
      </c>
      <c r="H8" s="25">
        <v>1</v>
      </c>
      <c r="I8" s="26">
        <v>0</v>
      </c>
      <c r="J8" s="26">
        <v>1</v>
      </c>
      <c r="K8" s="26">
        <v>1</v>
      </c>
    </row>
    <row r="9" spans="1:11" x14ac:dyDescent="0.45">
      <c r="A9" s="25" t="s">
        <v>13</v>
      </c>
      <c r="B9" s="25">
        <v>500</v>
      </c>
      <c r="C9" s="25">
        <v>0</v>
      </c>
      <c r="D9" s="25">
        <v>2004.3803</v>
      </c>
      <c r="E9" s="25">
        <v>1357.2049999999999</v>
      </c>
      <c r="F9" s="25">
        <v>2095.543257401238</v>
      </c>
      <c r="G9" s="25">
        <v>10</v>
      </c>
      <c r="H9" s="25">
        <v>15050.41</v>
      </c>
      <c r="I9" s="26">
        <v>533.58500000000004</v>
      </c>
      <c r="J9" s="26">
        <v>2846.1750000000002</v>
      </c>
      <c r="K9" s="26">
        <v>2312.59</v>
      </c>
    </row>
    <row r="10" spans="1:11" x14ac:dyDescent="0.45">
      <c r="A10" s="25" t="s">
        <v>16</v>
      </c>
      <c r="B10" s="25">
        <v>500</v>
      </c>
      <c r="C10" s="25">
        <v>0</v>
      </c>
      <c r="D10" s="25">
        <v>2586.0639999999999</v>
      </c>
      <c r="E10" s="25">
        <v>2682</v>
      </c>
      <c r="F10" s="25">
        <v>1443.5262727447009</v>
      </c>
      <c r="G10" s="25">
        <v>32</v>
      </c>
      <c r="H10" s="25">
        <v>4999</v>
      </c>
      <c r="I10" s="26">
        <v>1329</v>
      </c>
      <c r="J10" s="26">
        <v>3786.5</v>
      </c>
      <c r="K10" s="26">
        <v>2457.5</v>
      </c>
    </row>
    <row r="11" spans="1:11" x14ac:dyDescent="0.45">
      <c r="A11" s="25" t="s">
        <v>17</v>
      </c>
      <c r="B11" s="25">
        <v>500</v>
      </c>
      <c r="C11" s="25">
        <v>0</v>
      </c>
      <c r="D11" s="25">
        <v>148.136</v>
      </c>
      <c r="E11" s="25">
        <v>145.5</v>
      </c>
      <c r="F11" s="25">
        <v>87.091580481591691</v>
      </c>
      <c r="G11" s="25">
        <v>1</v>
      </c>
      <c r="H11" s="25">
        <v>298</v>
      </c>
      <c r="I11" s="26">
        <v>67.75</v>
      </c>
      <c r="J11" s="26">
        <v>226</v>
      </c>
      <c r="K11" s="26">
        <v>158.25</v>
      </c>
    </row>
    <row r="12" spans="1:11" x14ac:dyDescent="0.45">
      <c r="A12" s="25" t="s">
        <v>18</v>
      </c>
      <c r="B12" s="25">
        <v>500</v>
      </c>
      <c r="C12" s="25">
        <v>0</v>
      </c>
      <c r="D12" s="25">
        <v>5119.35646</v>
      </c>
      <c r="E12" s="25">
        <v>5184.03</v>
      </c>
      <c r="F12" s="25">
        <v>2885.5352823266562</v>
      </c>
      <c r="G12" s="25">
        <v>75.19</v>
      </c>
      <c r="H12" s="25">
        <v>9997.42</v>
      </c>
      <c r="I12" s="26">
        <v>2719.0050000000001</v>
      </c>
      <c r="J12" s="26">
        <v>7633.085</v>
      </c>
      <c r="K12" s="26">
        <v>4914.08</v>
      </c>
    </row>
    <row r="13" spans="1:11" x14ac:dyDescent="0.45">
      <c r="A13" s="25" t="s">
        <v>19</v>
      </c>
      <c r="B13" s="25">
        <v>500</v>
      </c>
      <c r="C13" s="25">
        <v>0</v>
      </c>
      <c r="D13" s="25">
        <v>4.0542000000000007</v>
      </c>
      <c r="E13" s="25">
        <v>4</v>
      </c>
      <c r="F13" s="25">
        <v>1.9514452688391111</v>
      </c>
      <c r="G13" s="25">
        <v>0.5</v>
      </c>
      <c r="H13" s="25">
        <v>10</v>
      </c>
      <c r="I13" s="26">
        <v>2.7</v>
      </c>
      <c r="J13" s="26">
        <v>5.4</v>
      </c>
      <c r="K13" s="26">
        <v>2.7</v>
      </c>
    </row>
    <row r="14" spans="1:11" x14ac:dyDescent="0.45">
      <c r="A14" s="25" t="s">
        <v>20</v>
      </c>
      <c r="B14" s="25">
        <v>500</v>
      </c>
      <c r="C14" s="25">
        <v>0</v>
      </c>
      <c r="D14" s="25">
        <v>5.1479999999999997</v>
      </c>
      <c r="E14" s="25">
        <v>5.2</v>
      </c>
      <c r="F14" s="25">
        <v>2.492894913569403</v>
      </c>
      <c r="G14" s="25">
        <v>0.5</v>
      </c>
      <c r="H14" s="25">
        <v>13.9</v>
      </c>
      <c r="I14" s="26">
        <v>3.3</v>
      </c>
      <c r="J14" s="26">
        <v>6.8</v>
      </c>
      <c r="K14" s="26">
        <v>3.5</v>
      </c>
    </row>
    <row r="15" spans="1:11" x14ac:dyDescent="0.45">
      <c r="A15" s="25" t="s">
        <v>21</v>
      </c>
      <c r="B15" s="25">
        <v>500</v>
      </c>
      <c r="C15" s="25">
        <v>0</v>
      </c>
      <c r="D15" s="25">
        <v>0.49199999999999999</v>
      </c>
      <c r="E15" s="25">
        <v>0</v>
      </c>
      <c r="F15" s="25">
        <v>0.50043668305540412</v>
      </c>
      <c r="G15" s="25">
        <v>0</v>
      </c>
      <c r="H15" s="25">
        <v>1</v>
      </c>
      <c r="I15" s="26">
        <v>0</v>
      </c>
      <c r="J15" s="26">
        <v>1</v>
      </c>
      <c r="K15" s="26">
        <v>1</v>
      </c>
    </row>
    <row r="16" spans="1:11" x14ac:dyDescent="0.45">
      <c r="A16" s="25" t="s">
        <v>22</v>
      </c>
      <c r="B16" s="25">
        <v>500</v>
      </c>
      <c r="C16" s="25">
        <v>0</v>
      </c>
      <c r="D16" s="25">
        <v>712.47077999999999</v>
      </c>
      <c r="E16" s="25">
        <v>0</v>
      </c>
      <c r="F16" s="25">
        <v>1347.8774624910729</v>
      </c>
      <c r="G16" s="25">
        <v>0</v>
      </c>
      <c r="H16" s="25">
        <v>10218.89</v>
      </c>
      <c r="I16" s="26">
        <v>0</v>
      </c>
      <c r="J16" s="26">
        <v>841.73500000000001</v>
      </c>
      <c r="K16" s="26">
        <v>841.73500000000001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E756-5EB9-43D4-A32D-D7443F04EBA5}">
  <dimension ref="A1:G16"/>
  <sheetViews>
    <sheetView showGridLines="0" showRowColHeaders="0" workbookViewId="0">
      <selection activeCell="I14" sqref="I14"/>
    </sheetView>
  </sheetViews>
  <sheetFormatPr defaultRowHeight="14.25" x14ac:dyDescent="0.45"/>
  <cols>
    <col min="1" max="1" width="20.33203125" customWidth="1"/>
    <col min="7" max="7" width="11.19921875" bestFit="1" customWidth="1"/>
  </cols>
  <sheetData>
    <row r="1" spans="1:7" x14ac:dyDescent="0.45">
      <c r="A1" s="21" t="s">
        <v>1031</v>
      </c>
      <c r="B1" s="21" t="s">
        <v>1078</v>
      </c>
      <c r="C1" s="21" t="s">
        <v>1079</v>
      </c>
      <c r="D1" s="21" t="s">
        <v>1080</v>
      </c>
      <c r="E1" s="21" t="s">
        <v>1081</v>
      </c>
      <c r="F1" s="21" t="s">
        <v>1082</v>
      </c>
      <c r="G1" s="21" t="s">
        <v>1083</v>
      </c>
    </row>
    <row r="2" spans="1:7" x14ac:dyDescent="0.45">
      <c r="A2" s="12" t="s">
        <v>2</v>
      </c>
      <c r="B2" s="12">
        <v>39.5</v>
      </c>
      <c r="C2" s="12">
        <v>59.55</v>
      </c>
      <c r="D2" s="12">
        <v>20.05</v>
      </c>
      <c r="E2" s="12">
        <v>9.4250000000000043</v>
      </c>
      <c r="F2" s="12">
        <v>89.625</v>
      </c>
      <c r="G2" s="12">
        <v>3</v>
      </c>
    </row>
    <row r="3" spans="1:7" x14ac:dyDescent="0.45">
      <c r="A3" s="12" t="s">
        <v>7</v>
      </c>
      <c r="B3" s="12">
        <v>47652.945</v>
      </c>
      <c r="C3" s="12">
        <v>72930.482499999998</v>
      </c>
      <c r="D3" s="12">
        <v>25277.537499999999</v>
      </c>
      <c r="E3" s="12">
        <v>9736.6387500000055</v>
      </c>
      <c r="F3" s="12">
        <v>110846.78875000001</v>
      </c>
      <c r="G3" s="12">
        <v>4</v>
      </c>
    </row>
    <row r="4" spans="1:7" x14ac:dyDescent="0.45">
      <c r="A4" s="12" t="s">
        <v>8</v>
      </c>
      <c r="B4" s="12">
        <v>72906.282500000001</v>
      </c>
      <c r="C4" s="12">
        <v>106926.405</v>
      </c>
      <c r="D4" s="12">
        <v>34020.122499999998</v>
      </c>
      <c r="E4" s="12">
        <v>21876.098750000001</v>
      </c>
      <c r="F4" s="12">
        <v>157956.58875</v>
      </c>
      <c r="G4" s="12">
        <v>1</v>
      </c>
    </row>
    <row r="5" spans="1:7" x14ac:dyDescent="0.45">
      <c r="A5" s="12" t="s">
        <v>9</v>
      </c>
      <c r="B5" s="12">
        <v>591</v>
      </c>
      <c r="C5" s="12">
        <v>707.25</v>
      </c>
      <c r="D5" s="12">
        <v>116.25</v>
      </c>
      <c r="E5" s="12">
        <v>416.625</v>
      </c>
      <c r="F5" s="12">
        <v>881.625</v>
      </c>
      <c r="G5" s="12">
        <v>1</v>
      </c>
    </row>
    <row r="6" spans="1:7" x14ac:dyDescent="0.45">
      <c r="A6" s="12" t="s">
        <v>10</v>
      </c>
      <c r="B6" s="12">
        <v>5612.2624999999998</v>
      </c>
      <c r="C6" s="12">
        <v>27839.452499999999</v>
      </c>
      <c r="D6" s="12">
        <v>22227.19</v>
      </c>
      <c r="E6" s="12">
        <v>-27728.522499999999</v>
      </c>
      <c r="F6" s="12">
        <v>61180.237500000003</v>
      </c>
      <c r="G6" s="12">
        <v>22</v>
      </c>
    </row>
    <row r="7" spans="1:7" x14ac:dyDescent="0.45">
      <c r="A7" s="12" t="s">
        <v>11</v>
      </c>
      <c r="B7" s="12">
        <v>0</v>
      </c>
      <c r="C7" s="12">
        <v>1</v>
      </c>
      <c r="D7" s="12">
        <v>1</v>
      </c>
      <c r="E7" s="12">
        <v>-1.5</v>
      </c>
      <c r="F7" s="12">
        <v>2.5</v>
      </c>
      <c r="G7" s="12">
        <v>0</v>
      </c>
    </row>
    <row r="8" spans="1:7" x14ac:dyDescent="0.45">
      <c r="A8" s="12" t="s">
        <v>12</v>
      </c>
      <c r="B8" s="12">
        <v>0</v>
      </c>
      <c r="C8" s="12">
        <v>1</v>
      </c>
      <c r="D8" s="12">
        <v>1</v>
      </c>
      <c r="E8" s="12">
        <v>-1.5</v>
      </c>
      <c r="F8" s="12">
        <v>2.5</v>
      </c>
      <c r="G8" s="12">
        <v>0</v>
      </c>
    </row>
    <row r="9" spans="1:7" x14ac:dyDescent="0.45">
      <c r="A9" s="12" t="s">
        <v>13</v>
      </c>
      <c r="B9" s="12">
        <v>533.58500000000004</v>
      </c>
      <c r="C9" s="12">
        <v>2846.1750000000002</v>
      </c>
      <c r="D9" s="12">
        <v>2312.59</v>
      </c>
      <c r="E9" s="12">
        <v>-2935.3</v>
      </c>
      <c r="F9" s="12">
        <v>6315.06</v>
      </c>
      <c r="G9" s="12">
        <v>25</v>
      </c>
    </row>
    <row r="10" spans="1:7" x14ac:dyDescent="0.45">
      <c r="A10" s="12" t="s">
        <v>16</v>
      </c>
      <c r="B10" s="12">
        <v>1329</v>
      </c>
      <c r="C10" s="12">
        <v>3786.5</v>
      </c>
      <c r="D10" s="12">
        <v>2457.5</v>
      </c>
      <c r="E10" s="12">
        <v>-2357.25</v>
      </c>
      <c r="F10" s="12">
        <v>7472.75</v>
      </c>
      <c r="G10" s="12">
        <v>0</v>
      </c>
    </row>
    <row r="11" spans="1:7" x14ac:dyDescent="0.45">
      <c r="A11" s="12" t="s">
        <v>17</v>
      </c>
      <c r="B11" s="12">
        <v>67.75</v>
      </c>
      <c r="C11" s="12">
        <v>226</v>
      </c>
      <c r="D11" s="12">
        <v>158.25</v>
      </c>
      <c r="E11" s="12">
        <v>-169.625</v>
      </c>
      <c r="F11" s="12">
        <v>463.375</v>
      </c>
      <c r="G11" s="12">
        <v>0</v>
      </c>
    </row>
    <row r="12" spans="1:7" x14ac:dyDescent="0.45">
      <c r="A12" s="12" t="s">
        <v>18</v>
      </c>
      <c r="B12" s="12">
        <v>2719.0050000000001</v>
      </c>
      <c r="C12" s="12">
        <v>7633.085</v>
      </c>
      <c r="D12" s="12">
        <v>4914.08</v>
      </c>
      <c r="E12" s="12">
        <v>-4652.1149999999998</v>
      </c>
      <c r="F12" s="12">
        <v>15004.205</v>
      </c>
      <c r="G12" s="12">
        <v>0</v>
      </c>
    </row>
    <row r="13" spans="1:7" x14ac:dyDescent="0.45">
      <c r="A13" s="12" t="s">
        <v>19</v>
      </c>
      <c r="B13" s="12">
        <v>2.7</v>
      </c>
      <c r="C13" s="12">
        <v>5.4</v>
      </c>
      <c r="D13" s="12">
        <v>2.7</v>
      </c>
      <c r="E13" s="12">
        <v>-1.350000000000001</v>
      </c>
      <c r="F13" s="12">
        <v>9.4500000000000011</v>
      </c>
      <c r="G13" s="12">
        <v>2</v>
      </c>
    </row>
    <row r="14" spans="1:7" x14ac:dyDescent="0.45">
      <c r="A14" s="12" t="s">
        <v>20</v>
      </c>
      <c r="B14" s="12">
        <v>3.3</v>
      </c>
      <c r="C14" s="12">
        <v>6.8</v>
      </c>
      <c r="D14" s="12">
        <v>3.5</v>
      </c>
      <c r="E14" s="12">
        <v>-1.95</v>
      </c>
      <c r="F14" s="12">
        <v>12.05</v>
      </c>
      <c r="G14" s="12">
        <v>2</v>
      </c>
    </row>
    <row r="15" spans="1:7" x14ac:dyDescent="0.45">
      <c r="A15" s="12" t="s">
        <v>21</v>
      </c>
      <c r="B15" s="12">
        <v>0</v>
      </c>
      <c r="C15" s="12">
        <v>1</v>
      </c>
      <c r="D15" s="12">
        <v>1</v>
      </c>
      <c r="E15" s="12">
        <v>-1.5</v>
      </c>
      <c r="F15" s="12">
        <v>2.5</v>
      </c>
      <c r="G15" s="12">
        <v>0</v>
      </c>
    </row>
    <row r="16" spans="1:7" x14ac:dyDescent="0.45">
      <c r="A16" s="12" t="s">
        <v>22</v>
      </c>
      <c r="B16" s="12">
        <v>0</v>
      </c>
      <c r="C16" s="12">
        <v>841.73500000000001</v>
      </c>
      <c r="D16" s="12">
        <v>841.73500000000001</v>
      </c>
      <c r="E16" s="12">
        <v>-1262.6025</v>
      </c>
      <c r="F16" s="12">
        <v>2104.3375000000001</v>
      </c>
      <c r="G16" s="12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E82C-096D-450F-8792-A2E06712AC0C}">
  <dimension ref="A1:P16"/>
  <sheetViews>
    <sheetView showGridLines="0" showRowColHeaders="0" zoomScale="80" zoomScaleNormal="80" workbookViewId="0">
      <selection activeCell="B27" sqref="B27"/>
    </sheetView>
  </sheetViews>
  <sheetFormatPr defaultRowHeight="14.25" x14ac:dyDescent="0.45"/>
  <cols>
    <col min="1" max="1" width="19.33203125" bestFit="1" customWidth="1"/>
    <col min="3" max="3" width="14.33203125" bestFit="1" customWidth="1"/>
    <col min="4" max="6" width="13.86328125" bestFit="1" customWidth="1"/>
    <col min="7" max="7" width="19.86328125" bestFit="1" customWidth="1"/>
    <col min="8" max="8" width="13.86328125" bestFit="1" customWidth="1"/>
    <col min="9" max="9" width="14.86328125" bestFit="1" customWidth="1"/>
    <col min="11" max="11" width="18.1328125" bestFit="1" customWidth="1"/>
    <col min="12" max="12" width="22.53125" bestFit="1" customWidth="1"/>
    <col min="13" max="13" width="22" bestFit="1" customWidth="1"/>
    <col min="14" max="14" width="18.796875" bestFit="1" customWidth="1"/>
    <col min="15" max="15" width="17.6640625" bestFit="1" customWidth="1"/>
    <col min="16" max="16" width="14.33203125" bestFit="1" customWidth="1"/>
  </cols>
  <sheetData>
    <row r="1" spans="1:16" x14ac:dyDescent="0.45">
      <c r="A1" s="22"/>
      <c r="B1" s="22" t="s">
        <v>2</v>
      </c>
      <c r="C1" s="22" t="s">
        <v>8</v>
      </c>
      <c r="D1" s="22" t="s">
        <v>9</v>
      </c>
      <c r="E1" s="22" t="s">
        <v>11</v>
      </c>
      <c r="F1" s="22" t="s">
        <v>12</v>
      </c>
      <c r="G1" s="22" t="s">
        <v>13</v>
      </c>
      <c r="H1" s="22" t="s">
        <v>10</v>
      </c>
      <c r="I1" s="22" t="s">
        <v>7</v>
      </c>
      <c r="J1" s="22" t="s">
        <v>21</v>
      </c>
      <c r="K1" s="22" t="s">
        <v>16</v>
      </c>
      <c r="L1" s="22" t="s">
        <v>17</v>
      </c>
      <c r="M1" s="22" t="s">
        <v>18</v>
      </c>
      <c r="N1" s="22" t="s">
        <v>19</v>
      </c>
      <c r="O1" s="22" t="s">
        <v>20</v>
      </c>
      <c r="P1" s="22" t="s">
        <v>22</v>
      </c>
    </row>
    <row r="2" spans="1:16" x14ac:dyDescent="0.45">
      <c r="A2" t="s">
        <v>2</v>
      </c>
      <c r="B2">
        <v>1</v>
      </c>
    </row>
    <row r="3" spans="1:16" x14ac:dyDescent="0.45">
      <c r="A3" t="s">
        <v>8</v>
      </c>
      <c r="B3">
        <v>-5.0594133984908973E-2</v>
      </c>
      <c r="C3">
        <v>1</v>
      </c>
    </row>
    <row r="4" spans="1:16" x14ac:dyDescent="0.45">
      <c r="A4" t="s">
        <v>9</v>
      </c>
      <c r="B4">
        <v>4.8637716313700528E-3</v>
      </c>
      <c r="C4">
        <v>-4.3798417235463988E-3</v>
      </c>
      <c r="D4">
        <v>1</v>
      </c>
    </row>
    <row r="5" spans="1:16" x14ac:dyDescent="0.45">
      <c r="A5" t="s">
        <v>11</v>
      </c>
      <c r="B5">
        <v>1.7388767922297179E-2</v>
      </c>
      <c r="C5">
        <v>4.7648431335925411E-2</v>
      </c>
      <c r="D5">
        <v>-2.9365817496477774E-2</v>
      </c>
      <c r="E5">
        <v>1</v>
      </c>
    </row>
    <row r="6" spans="1:16" x14ac:dyDescent="0.45">
      <c r="A6" t="s">
        <v>12</v>
      </c>
      <c r="B6">
        <v>-1.1228483931931999E-2</v>
      </c>
      <c r="C6">
        <v>4.9495443271632749E-3</v>
      </c>
      <c r="D6">
        <v>1.6872292794122189E-2</v>
      </c>
      <c r="E6">
        <v>2.2349353011919147E-3</v>
      </c>
      <c r="F6">
        <v>1</v>
      </c>
    </row>
    <row r="7" spans="1:16" x14ac:dyDescent="0.45">
      <c r="A7" t="s">
        <v>13</v>
      </c>
      <c r="B7">
        <v>-4.6279338164154413E-4</v>
      </c>
      <c r="C7">
        <v>-0.10537428137561398</v>
      </c>
      <c r="D7">
        <v>-7.6302433376554915E-2</v>
      </c>
      <c r="E7">
        <v>7.4060303900565427E-3</v>
      </c>
      <c r="F7">
        <v>-3.8198258344991423E-2</v>
      </c>
      <c r="G7">
        <v>1</v>
      </c>
    </row>
    <row r="8" spans="1:16" x14ac:dyDescent="0.45">
      <c r="A8" t="s">
        <v>10</v>
      </c>
      <c r="B8">
        <v>-8.4133612524303014E-2</v>
      </c>
      <c r="C8">
        <v>-1.9162666009963733E-2</v>
      </c>
      <c r="D8">
        <v>-8.7026894903973376E-2</v>
      </c>
      <c r="E8">
        <v>2.6190517482834342E-3</v>
      </c>
      <c r="F8">
        <v>-5.9192548080618364E-2</v>
      </c>
      <c r="G8">
        <v>-5.7563385512839793E-2</v>
      </c>
      <c r="H8">
        <v>1</v>
      </c>
    </row>
    <row r="9" spans="1:16" x14ac:dyDescent="0.45">
      <c r="A9" t="s">
        <v>7</v>
      </c>
      <c r="B9">
        <v>5.2244911687978259E-3</v>
      </c>
      <c r="C9">
        <v>0.79650582324702179</v>
      </c>
      <c r="D9">
        <v>6.0374967930550048E-2</v>
      </c>
      <c r="E9">
        <v>1.7588706035697711E-2</v>
      </c>
      <c r="F9">
        <v>-5.1235568324403472E-2</v>
      </c>
      <c r="G9">
        <v>-0.10723304895112856</v>
      </c>
      <c r="H9">
        <v>-3.7058307534754246E-3</v>
      </c>
      <c r="I9">
        <v>1</v>
      </c>
    </row>
    <row r="10" spans="1:16" x14ac:dyDescent="0.45">
      <c r="A10" t="s">
        <v>21</v>
      </c>
      <c r="B10">
        <v>0.10672116444013523</v>
      </c>
      <c r="C10">
        <v>-0.23462437723679888</v>
      </c>
      <c r="D10">
        <v>-2.4246692875078898E-2</v>
      </c>
      <c r="E10">
        <v>2.5013956964839969E-2</v>
      </c>
      <c r="F10">
        <v>-3.2133141450725669E-2</v>
      </c>
      <c r="G10">
        <v>-3.5394443704299901E-2</v>
      </c>
      <c r="H10">
        <v>-5.6249317582963794E-3</v>
      </c>
      <c r="I10">
        <v>-0.20732246847657476</v>
      </c>
      <c r="J10">
        <v>1</v>
      </c>
    </row>
    <row r="11" spans="1:16" x14ac:dyDescent="0.45">
      <c r="A11" t="s">
        <v>16</v>
      </c>
      <c r="B11">
        <v>-2.15312220563811E-2</v>
      </c>
      <c r="C11">
        <v>-6.0756045241611129E-2</v>
      </c>
      <c r="D11">
        <v>-2.7081453159662813E-2</v>
      </c>
      <c r="E11">
        <v>1.6664486194741143E-2</v>
      </c>
      <c r="F11">
        <v>5.1985613683589275E-3</v>
      </c>
      <c r="G11">
        <v>-3.9033078308503056E-3</v>
      </c>
      <c r="H11">
        <v>4.9489640901980075E-2</v>
      </c>
      <c r="I11">
        <v>1.3565004569014614E-2</v>
      </c>
      <c r="J11">
        <v>1.0586761393852506E-2</v>
      </c>
      <c r="K11">
        <v>1</v>
      </c>
    </row>
    <row r="12" spans="1:16" x14ac:dyDescent="0.45">
      <c r="A12" t="s">
        <v>17</v>
      </c>
      <c r="B12">
        <v>-4.1915547507407114E-2</v>
      </c>
      <c r="C12">
        <v>-4.8117392706883859E-2</v>
      </c>
      <c r="D12">
        <v>5.1598114999519523E-2</v>
      </c>
      <c r="E12">
        <v>1.3917700157080852E-2</v>
      </c>
      <c r="F12">
        <v>8.2631617684603614E-2</v>
      </c>
      <c r="G12">
        <v>-3.5971379222069747E-3</v>
      </c>
      <c r="H12">
        <v>-8.9274734777451653E-2</v>
      </c>
      <c r="I12">
        <v>-9.0125774679985018E-2</v>
      </c>
      <c r="J12">
        <v>3.1981494473622474E-2</v>
      </c>
      <c r="K12">
        <v>1.432140298286569E-2</v>
      </c>
      <c r="L12">
        <v>1</v>
      </c>
    </row>
    <row r="13" spans="1:16" x14ac:dyDescent="0.45">
      <c r="A13" t="s">
        <v>18</v>
      </c>
      <c r="B13">
        <v>3.9721302044366649E-2</v>
      </c>
      <c r="C13">
        <v>-2.8175861693832342E-2</v>
      </c>
      <c r="D13">
        <v>-8.7870765966346645E-2</v>
      </c>
      <c r="E13">
        <v>-1.2338086777727504E-2</v>
      </c>
      <c r="F13">
        <v>-1.1456307413092129E-2</v>
      </c>
      <c r="G13">
        <v>0.11516984685485611</v>
      </c>
      <c r="H13">
        <v>-4.493073738320625E-2</v>
      </c>
      <c r="I13">
        <v>-3.2290159724364532E-2</v>
      </c>
      <c r="J13">
        <v>-4.7525580407488485E-2</v>
      </c>
      <c r="K13">
        <v>-5.8501412677653866E-2</v>
      </c>
      <c r="L13">
        <v>-5.8828829620277127E-2</v>
      </c>
      <c r="M13">
        <v>1</v>
      </c>
    </row>
    <row r="14" spans="1:16" x14ac:dyDescent="0.45">
      <c r="A14" t="s">
        <v>19</v>
      </c>
      <c r="B14">
        <v>6.5386855005527392E-2</v>
      </c>
      <c r="C14">
        <v>4.1590561602965086E-2</v>
      </c>
      <c r="D14">
        <v>-2.5265288717544448E-2</v>
      </c>
      <c r="E14">
        <v>-1.951504861694885E-2</v>
      </c>
      <c r="F14">
        <v>-9.7960098455702083E-2</v>
      </c>
      <c r="G14">
        <v>-5.3244001598874789E-2</v>
      </c>
      <c r="H14">
        <v>2.3517338281239881E-2</v>
      </c>
      <c r="I14">
        <v>6.5409693660988852E-2</v>
      </c>
      <c r="J14">
        <v>0.11669513009919549</v>
      </c>
      <c r="K14">
        <v>4.787378169219219E-2</v>
      </c>
      <c r="L14">
        <v>-8.8410880728180694E-2</v>
      </c>
      <c r="M14">
        <v>-2.6902298645527106E-2</v>
      </c>
      <c r="N14">
        <v>1</v>
      </c>
    </row>
    <row r="15" spans="1:16" x14ac:dyDescent="0.45">
      <c r="A15" t="s">
        <v>20</v>
      </c>
      <c r="B15">
        <v>-3.3575018244585829E-2</v>
      </c>
      <c r="C15">
        <v>-6.9681355141526666E-2</v>
      </c>
      <c r="D15">
        <v>1.7859567496567166E-2</v>
      </c>
      <c r="E15">
        <v>1.9524857464704708E-2</v>
      </c>
      <c r="F15">
        <v>1.9750063739573609E-2</v>
      </c>
      <c r="G15">
        <v>-2.3665548852774082E-2</v>
      </c>
      <c r="H15">
        <v>1.5255510314613124E-2</v>
      </c>
      <c r="I15">
        <v>-4.8152974912989054E-2</v>
      </c>
      <c r="J15">
        <v>5.9262305911707183E-2</v>
      </c>
      <c r="K15">
        <v>-2.8862717453693475E-2</v>
      </c>
      <c r="L15">
        <v>-2.3041450995558377E-2</v>
      </c>
      <c r="M15">
        <v>-2.8599210578750513E-2</v>
      </c>
      <c r="N15">
        <v>-5.6848722746388219E-2</v>
      </c>
      <c r="O15">
        <v>1</v>
      </c>
    </row>
    <row r="16" spans="1:16" ht="14.65" thickBot="1" x14ac:dyDescent="0.5">
      <c r="A16" s="3" t="s">
        <v>22</v>
      </c>
      <c r="B16" s="3">
        <v>4.5348067376854741E-2</v>
      </c>
      <c r="C16" s="3">
        <v>-0.22378183101910995</v>
      </c>
      <c r="D16" s="3">
        <v>-5.4247963856887391E-2</v>
      </c>
      <c r="E16" s="3">
        <v>3.2833694743417713E-2</v>
      </c>
      <c r="F16" s="3">
        <v>-3.1330900859334619E-2</v>
      </c>
      <c r="G16" s="3">
        <v>0.5614331774345751</v>
      </c>
      <c r="H16" s="3">
        <v>3.5354584116988844E-2</v>
      </c>
      <c r="I16" s="3">
        <v>-0.22350951002389019</v>
      </c>
      <c r="J16" s="3">
        <v>0.53765127512224664</v>
      </c>
      <c r="K16" s="3">
        <v>3.9568270649996462E-2</v>
      </c>
      <c r="L16" s="3">
        <v>3.4306542727662965E-3</v>
      </c>
      <c r="M16" s="3">
        <v>2.604419244580727E-2</v>
      </c>
      <c r="N16" s="3">
        <v>2.2609591479827412E-2</v>
      </c>
      <c r="O16" s="3">
        <v>3.125776814332059E-2</v>
      </c>
      <c r="P16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D72E-CA64-4648-A7A6-C572CC9685E5}">
  <dimension ref="M27"/>
  <sheetViews>
    <sheetView showGridLines="0" showRowColHeaders="0" zoomScale="60" zoomScaleNormal="60" workbookViewId="0">
      <selection activeCell="K23" sqref="K23"/>
    </sheetView>
  </sheetViews>
  <sheetFormatPr defaultRowHeight="14.25" x14ac:dyDescent="0.45"/>
  <sheetData>
    <row r="27" spans="13:13" x14ac:dyDescent="0.45">
      <c r="M27" t="s">
        <v>1088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22C8-65E0-47D5-8E14-7D3E29F51D8B}">
  <dimension ref="A1:I31"/>
  <sheetViews>
    <sheetView zoomScale="80" zoomScaleNormal="80" workbookViewId="0">
      <selection activeCell="L26" sqref="L26"/>
    </sheetView>
  </sheetViews>
  <sheetFormatPr defaultRowHeight="14.25" x14ac:dyDescent="0.45"/>
  <cols>
    <col min="2" max="2" width="12.33203125" bestFit="1" customWidth="1"/>
    <col min="3" max="3" width="13" bestFit="1" customWidth="1"/>
    <col min="6" max="6" width="12.33203125" bestFit="1" customWidth="1"/>
    <col min="7" max="7" width="12.19921875" bestFit="1" customWidth="1"/>
    <col min="8" max="8" width="12.33203125" bestFit="1" customWidth="1"/>
    <col min="9" max="9" width="12.19921875" bestFit="1" customWidth="1"/>
  </cols>
  <sheetData>
    <row r="1" spans="1:9" x14ac:dyDescent="0.45">
      <c r="A1" t="s">
        <v>1054</v>
      </c>
    </row>
    <row r="2" spans="1:9" ht="14.65" thickBot="1" x14ac:dyDescent="0.5"/>
    <row r="3" spans="1:9" x14ac:dyDescent="0.45">
      <c r="A3" s="7" t="s">
        <v>1055</v>
      </c>
      <c r="B3" s="7"/>
    </row>
    <row r="4" spans="1:9" x14ac:dyDescent="0.45">
      <c r="A4" t="s">
        <v>1056</v>
      </c>
      <c r="B4">
        <v>0.69543046144352716</v>
      </c>
    </row>
    <row r="5" spans="1:9" x14ac:dyDescent="0.45">
      <c r="A5" t="s">
        <v>1057</v>
      </c>
      <c r="B5">
        <v>0.48362352670355713</v>
      </c>
    </row>
    <row r="6" spans="1:9" x14ac:dyDescent="0.45">
      <c r="A6" t="s">
        <v>1058</v>
      </c>
      <c r="B6">
        <v>0.46871781407231961</v>
      </c>
    </row>
    <row r="7" spans="1:9" x14ac:dyDescent="0.45">
      <c r="A7" t="s">
        <v>1059</v>
      </c>
      <c r="B7">
        <v>0.36476382732045104</v>
      </c>
    </row>
    <row r="8" spans="1:9" ht="14.65" thickBot="1" x14ac:dyDescent="0.5">
      <c r="A8" s="3" t="s">
        <v>1060</v>
      </c>
      <c r="B8" s="3">
        <v>500</v>
      </c>
    </row>
    <row r="10" spans="1:9" ht="14.65" thickBot="1" x14ac:dyDescent="0.5">
      <c r="A10" t="s">
        <v>1061</v>
      </c>
    </row>
    <row r="11" spans="1:9" x14ac:dyDescent="0.45">
      <c r="A11" s="4"/>
      <c r="B11" s="4" t="s">
        <v>1066</v>
      </c>
      <c r="C11" s="4" t="s">
        <v>1067</v>
      </c>
      <c r="D11" s="4" t="s">
        <v>1068</v>
      </c>
      <c r="E11" s="4" t="s">
        <v>1069</v>
      </c>
      <c r="F11" s="4" t="s">
        <v>1070</v>
      </c>
    </row>
    <row r="12" spans="1:9" x14ac:dyDescent="0.45">
      <c r="A12" t="s">
        <v>1062</v>
      </c>
      <c r="B12">
        <v>14</v>
      </c>
      <c r="C12">
        <v>60.437464885090208</v>
      </c>
      <c r="D12">
        <v>4.3169617775064433</v>
      </c>
      <c r="E12">
        <v>32.445515264398665</v>
      </c>
      <c r="F12">
        <v>1.0026489587040714E-60</v>
      </c>
    </row>
    <row r="13" spans="1:9" x14ac:dyDescent="0.45">
      <c r="A13" t="s">
        <v>1063</v>
      </c>
      <c r="B13">
        <v>485</v>
      </c>
      <c r="C13">
        <v>64.530535114909952</v>
      </c>
      <c r="D13">
        <v>0.13305264972146383</v>
      </c>
    </row>
    <row r="14" spans="1:9" ht="14.65" thickBot="1" x14ac:dyDescent="0.5">
      <c r="A14" s="3" t="s">
        <v>1064</v>
      </c>
      <c r="B14" s="3">
        <v>499</v>
      </c>
      <c r="C14" s="3">
        <v>124.96800000000016</v>
      </c>
      <c r="D14" s="3"/>
      <c r="E14" s="3"/>
      <c r="F14" s="3"/>
    </row>
    <row r="15" spans="1:9" ht="14.65" thickBot="1" x14ac:dyDescent="0.5"/>
    <row r="16" spans="1:9" x14ac:dyDescent="0.45">
      <c r="A16" s="4"/>
      <c r="B16" s="4" t="s">
        <v>1071</v>
      </c>
      <c r="C16" s="4" t="s">
        <v>1059</v>
      </c>
      <c r="D16" s="4" t="s">
        <v>1072</v>
      </c>
      <c r="E16" s="4" t="s">
        <v>1073</v>
      </c>
      <c r="F16" s="4" t="s">
        <v>1074</v>
      </c>
      <c r="G16" s="4" t="s">
        <v>1075</v>
      </c>
      <c r="H16" s="4" t="s">
        <v>1076</v>
      </c>
      <c r="I16" s="4" t="s">
        <v>1077</v>
      </c>
    </row>
    <row r="17" spans="1:9" x14ac:dyDescent="0.45">
      <c r="A17" t="s">
        <v>1065</v>
      </c>
      <c r="B17">
        <v>0.69492498766536914</v>
      </c>
      <c r="C17">
        <v>0.18522867834241699</v>
      </c>
      <c r="D17">
        <v>3.7517137944520589</v>
      </c>
      <c r="E17">
        <v>1.9687063548257453E-4</v>
      </c>
      <c r="F17">
        <v>0.33097521697553856</v>
      </c>
      <c r="G17">
        <v>1.0588747583551998</v>
      </c>
      <c r="H17">
        <v>0.33097521697553856</v>
      </c>
      <c r="I17">
        <v>1.0588747583551998</v>
      </c>
    </row>
    <row r="18" spans="1:9" x14ac:dyDescent="0.45">
      <c r="A18" t="s">
        <v>2</v>
      </c>
      <c r="B18">
        <v>1.9656593922817993E-3</v>
      </c>
      <c r="C18">
        <v>1.1492053838950298E-3</v>
      </c>
      <c r="D18">
        <v>1.7104509079304362</v>
      </c>
      <c r="E18">
        <v>8.7822023980299077E-2</v>
      </c>
      <c r="F18">
        <v>-2.9237667258135824E-4</v>
      </c>
      <c r="G18">
        <v>4.2236954571449568E-3</v>
      </c>
      <c r="H18">
        <v>-2.9237667258135824E-4</v>
      </c>
      <c r="I18">
        <v>4.2236954571449568E-3</v>
      </c>
    </row>
    <row r="19" spans="1:9" x14ac:dyDescent="0.45">
      <c r="A19" t="s">
        <v>8</v>
      </c>
      <c r="B19">
        <v>-2.4915081388519761E-6</v>
      </c>
      <c r="C19">
        <v>1.1630744171639493E-6</v>
      </c>
      <c r="D19">
        <v>-2.1421743115348466</v>
      </c>
      <c r="E19">
        <v>3.267676372894323E-2</v>
      </c>
      <c r="F19">
        <v>-4.7767950134875913E-6</v>
      </c>
      <c r="G19">
        <v>-2.0622126421636131E-7</v>
      </c>
      <c r="H19">
        <v>-4.7767950134875913E-6</v>
      </c>
      <c r="I19">
        <v>-2.0622126421636131E-7</v>
      </c>
    </row>
    <row r="20" spans="1:9" x14ac:dyDescent="0.45">
      <c r="A20" t="s">
        <v>9</v>
      </c>
      <c r="B20">
        <v>-1.6595470541917899E-4</v>
      </c>
      <c r="C20">
        <v>2.0113486548312774E-4</v>
      </c>
      <c r="D20">
        <v>-0.82509168671753808</v>
      </c>
      <c r="E20">
        <v>0.40972516754105159</v>
      </c>
      <c r="F20">
        <v>-5.6115802288274114E-4</v>
      </c>
      <c r="G20">
        <v>2.2924861204438318E-4</v>
      </c>
      <c r="H20">
        <v>-5.6115802288274114E-4</v>
      </c>
      <c r="I20">
        <v>2.2924861204438318E-4</v>
      </c>
    </row>
    <row r="21" spans="1:9" x14ac:dyDescent="0.45">
      <c r="A21" t="s">
        <v>11</v>
      </c>
      <c r="B21">
        <v>8.0029215954097333E-3</v>
      </c>
      <c r="C21">
        <v>3.364910738189239E-2</v>
      </c>
      <c r="D21">
        <v>0.23783458813877331</v>
      </c>
      <c r="E21">
        <v>0.8121098315012093</v>
      </c>
      <c r="F21">
        <v>-5.8113108736124408E-2</v>
      </c>
      <c r="G21">
        <v>7.4118951926943871E-2</v>
      </c>
      <c r="H21">
        <v>-5.8113108736124408E-2</v>
      </c>
      <c r="I21">
        <v>7.4118951926943871E-2</v>
      </c>
    </row>
    <row r="22" spans="1:9" x14ac:dyDescent="0.45">
      <c r="A22" t="s">
        <v>12</v>
      </c>
      <c r="B22">
        <v>-2.3099376352332376E-2</v>
      </c>
      <c r="C22">
        <v>3.3083563466856404E-2</v>
      </c>
      <c r="D22">
        <v>-0.69821306811382844</v>
      </c>
      <c r="E22">
        <v>0.48537857711608989</v>
      </c>
      <c r="F22">
        <v>-8.810418794584865E-2</v>
      </c>
      <c r="G22">
        <v>4.1905435241183897E-2</v>
      </c>
      <c r="H22">
        <v>-8.810418794584865E-2</v>
      </c>
      <c r="I22">
        <v>4.1905435241183897E-2</v>
      </c>
    </row>
    <row r="23" spans="1:9" x14ac:dyDescent="0.45">
      <c r="A23" t="s">
        <v>13</v>
      </c>
      <c r="B23">
        <v>-1.1596236966505788E-4</v>
      </c>
      <c r="C23">
        <v>9.6007427733525422E-6</v>
      </c>
      <c r="D23">
        <v>-12.078478967993876</v>
      </c>
      <c r="E23">
        <v>1.5050975323893966E-29</v>
      </c>
      <c r="F23">
        <v>-1.3482655507134951E-4</v>
      </c>
      <c r="G23">
        <v>-9.7098184258766269E-5</v>
      </c>
      <c r="H23">
        <v>-1.3482655507134951E-4</v>
      </c>
      <c r="I23">
        <v>-9.7098184258766269E-5</v>
      </c>
    </row>
    <row r="24" spans="1:9" x14ac:dyDescent="0.45">
      <c r="A24" t="s">
        <v>10</v>
      </c>
      <c r="B24">
        <v>-1.5334278953781908E-6</v>
      </c>
      <c r="C24">
        <v>8.3216627863678785E-7</v>
      </c>
      <c r="D24">
        <v>-1.8426941042241867</v>
      </c>
      <c r="E24">
        <v>6.5983803955268913E-2</v>
      </c>
      <c r="F24">
        <v>-3.1685241936187036E-6</v>
      </c>
      <c r="G24">
        <v>1.0166840286232185E-7</v>
      </c>
      <c r="H24">
        <v>-3.1685241936187036E-6</v>
      </c>
      <c r="I24">
        <v>1.0166840286232185E-7</v>
      </c>
    </row>
    <row r="25" spans="1:9" x14ac:dyDescent="0.45">
      <c r="A25" t="s">
        <v>7</v>
      </c>
      <c r="B25">
        <v>2.1029175034683644E-7</v>
      </c>
      <c r="C25">
        <v>1.4395962110548743E-6</v>
      </c>
      <c r="D25">
        <v>0.1460768990165261</v>
      </c>
      <c r="E25">
        <v>0.88392137617933342</v>
      </c>
      <c r="F25">
        <v>-2.6183237512484643E-6</v>
      </c>
      <c r="G25">
        <v>3.0389072519421374E-6</v>
      </c>
      <c r="H25">
        <v>-2.6183237512484643E-6</v>
      </c>
      <c r="I25">
        <v>3.0389072519421374E-6</v>
      </c>
    </row>
    <row r="26" spans="1:9" x14ac:dyDescent="0.45">
      <c r="A26" t="s">
        <v>16</v>
      </c>
      <c r="B26">
        <v>-1.0639918377652899E-5</v>
      </c>
      <c r="C26">
        <v>1.1473542882153186E-5</v>
      </c>
      <c r="D26">
        <v>-0.92734375832621252</v>
      </c>
      <c r="E26">
        <v>0.35420932765376512</v>
      </c>
      <c r="F26">
        <v>-3.3183907452822701E-5</v>
      </c>
      <c r="G26">
        <v>1.1904070697516904E-5</v>
      </c>
      <c r="H26">
        <v>-3.3183907452822701E-5</v>
      </c>
      <c r="I26">
        <v>1.1904070697516904E-5</v>
      </c>
    </row>
    <row r="27" spans="1:9" x14ac:dyDescent="0.45">
      <c r="A27" t="s">
        <v>17</v>
      </c>
      <c r="B27">
        <v>1.6840189487138209E-4</v>
      </c>
      <c r="C27">
        <v>1.911186602205507E-4</v>
      </c>
      <c r="D27">
        <v>0.88113789975843548</v>
      </c>
      <c r="E27">
        <v>0.37867962770192687</v>
      </c>
      <c r="F27">
        <v>-2.0712090853183436E-4</v>
      </c>
      <c r="G27">
        <v>5.4392469827459851E-4</v>
      </c>
      <c r="H27">
        <v>-2.0712090853183436E-4</v>
      </c>
      <c r="I27">
        <v>5.4392469827459851E-4</v>
      </c>
    </row>
    <row r="28" spans="1:9" x14ac:dyDescent="0.45">
      <c r="A28" t="s">
        <v>18</v>
      </c>
      <c r="B28">
        <v>-3.4642158005248567E-6</v>
      </c>
      <c r="C28">
        <v>5.7567997436714702E-6</v>
      </c>
      <c r="D28">
        <v>-0.60176069253288111</v>
      </c>
      <c r="E28">
        <v>0.54761462748405565</v>
      </c>
      <c r="F28">
        <v>-1.4775563294692632E-5</v>
      </c>
      <c r="G28">
        <v>7.8471316936429169E-6</v>
      </c>
      <c r="H28">
        <v>-1.4775563294692632E-5</v>
      </c>
      <c r="I28">
        <v>7.8471316936429169E-6</v>
      </c>
    </row>
    <row r="29" spans="1:9" x14ac:dyDescent="0.45">
      <c r="A29" t="s">
        <v>19</v>
      </c>
      <c r="B29">
        <v>1.9827452787541423E-2</v>
      </c>
      <c r="C29">
        <v>8.5282403707736022E-3</v>
      </c>
      <c r="D29">
        <v>2.3249172074804996</v>
      </c>
      <c r="E29">
        <v>2.0488231271821419E-2</v>
      </c>
      <c r="F29">
        <v>3.070592267309373E-3</v>
      </c>
      <c r="G29">
        <v>3.6584313307773474E-2</v>
      </c>
      <c r="H29">
        <v>3.070592267309373E-3</v>
      </c>
      <c r="I29">
        <v>3.6584313307773474E-2</v>
      </c>
    </row>
    <row r="30" spans="1:9" x14ac:dyDescent="0.45">
      <c r="A30" t="s">
        <v>20</v>
      </c>
      <c r="B30">
        <v>4.5573849644528104E-3</v>
      </c>
      <c r="C30">
        <v>6.6050663002981593E-3</v>
      </c>
      <c r="D30">
        <v>0.68998322760924979</v>
      </c>
      <c r="E30">
        <v>0.49053475393627122</v>
      </c>
      <c r="F30">
        <v>-8.4206937374894895E-3</v>
      </c>
      <c r="G30">
        <v>1.753546366639511E-2</v>
      </c>
      <c r="H30">
        <v>-8.4206937374894895E-3</v>
      </c>
      <c r="I30">
        <v>1.753546366639511E-2</v>
      </c>
    </row>
    <row r="31" spans="1:9" ht="14.65" thickBot="1" x14ac:dyDescent="0.5">
      <c r="A31" s="3" t="s">
        <v>22</v>
      </c>
      <c r="B31" s="3">
        <v>2.9028345488853928E-4</v>
      </c>
      <c r="C31" s="3">
        <v>1.5146793424286301E-5</v>
      </c>
      <c r="D31" s="3">
        <v>19.164680388596313</v>
      </c>
      <c r="E31" s="3">
        <v>2.3228238052024108E-61</v>
      </c>
      <c r="F31" s="3">
        <v>2.605220159861658E-4</v>
      </c>
      <c r="G31" s="3">
        <v>3.2004489379091277E-4</v>
      </c>
      <c r="H31" s="3">
        <v>2.605220159861658E-4</v>
      </c>
      <c r="I31" s="3">
        <v>3.2004489379091277E-4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3A3F-4804-46B5-B53C-4E22F4DBBA17}">
  <dimension ref="A1:Q501"/>
  <sheetViews>
    <sheetView showGridLines="0" showRowColHeaders="0" zoomScale="69" workbookViewId="0">
      <selection sqref="A1:Q1"/>
    </sheetView>
  </sheetViews>
  <sheetFormatPr defaultColWidth="9.1328125" defaultRowHeight="14.25" x14ac:dyDescent="0.45"/>
  <cols>
    <col min="1" max="1" width="4.73046875" style="8" bestFit="1" customWidth="1"/>
    <col min="2" max="2" width="12.73046875" style="8" bestFit="1" customWidth="1"/>
    <col min="3" max="3" width="10.6640625" style="8" bestFit="1" customWidth="1"/>
    <col min="4" max="4" width="8.19921875" style="8" bestFit="1" customWidth="1"/>
    <col min="5" max="5" width="10.796875" style="8" bestFit="1" customWidth="1"/>
    <col min="6" max="6" width="20.1328125" style="8" bestFit="1" customWidth="1"/>
    <col min="7" max="7" width="17.53125" style="8" bestFit="1" customWidth="1"/>
    <col min="8" max="8" width="11.73046875" style="8" bestFit="1" customWidth="1"/>
    <col min="9" max="9" width="14.86328125" style="8" bestFit="1" customWidth="1"/>
    <col min="10" max="10" width="15.73046875" style="8" bestFit="1" customWidth="1"/>
    <col min="11" max="11" width="20.1328125" style="8" bestFit="1" customWidth="1"/>
    <col min="12" max="12" width="19.19921875" style="8" bestFit="1" customWidth="1"/>
    <col min="13" max="13" width="16.6640625" style="8" bestFit="1" customWidth="1"/>
    <col min="14" max="14" width="15.59765625" style="8" bestFit="1" customWidth="1"/>
    <col min="15" max="15" width="12.59765625" style="8" bestFit="1" customWidth="1"/>
    <col min="16" max="16" width="7.3984375" style="8" bestFit="1" customWidth="1"/>
    <col min="17" max="17" width="15.06640625" style="8" bestFit="1" customWidth="1"/>
    <col min="18" max="16384" width="9.1328125" style="8"/>
  </cols>
  <sheetData>
    <row r="1" spans="1:17" x14ac:dyDescent="0.45">
      <c r="A1" s="13" t="s">
        <v>2</v>
      </c>
      <c r="B1" s="13" t="s">
        <v>8</v>
      </c>
      <c r="C1" s="13" t="s">
        <v>9</v>
      </c>
      <c r="D1" s="13" t="s">
        <v>11</v>
      </c>
      <c r="E1" s="13" t="s">
        <v>12</v>
      </c>
      <c r="F1" s="13" t="s">
        <v>17</v>
      </c>
      <c r="G1" s="13" t="s">
        <v>13</v>
      </c>
      <c r="H1" s="13" t="s">
        <v>10</v>
      </c>
      <c r="I1" s="13" t="s">
        <v>7</v>
      </c>
      <c r="J1" s="13" t="s">
        <v>16</v>
      </c>
      <c r="K1" s="13" t="s">
        <v>17</v>
      </c>
      <c r="L1" s="13" t="s">
        <v>18</v>
      </c>
      <c r="M1" s="13" t="s">
        <v>19</v>
      </c>
      <c r="N1" s="13" t="s">
        <v>20</v>
      </c>
      <c r="O1" s="13" t="s">
        <v>22</v>
      </c>
      <c r="P1" s="13" t="s">
        <v>21</v>
      </c>
      <c r="Q1" s="24" t="s">
        <v>1085</v>
      </c>
    </row>
    <row r="2" spans="1:17" x14ac:dyDescent="0.45">
      <c r="A2" s="8">
        <v>18</v>
      </c>
      <c r="B2" s="8">
        <v>118616.41</v>
      </c>
      <c r="C2" s="8">
        <v>741</v>
      </c>
      <c r="D2" s="8">
        <v>0</v>
      </c>
      <c r="E2" s="8">
        <v>1</v>
      </c>
      <c r="F2" s="8">
        <v>187</v>
      </c>
      <c r="G2" s="8">
        <v>14.98</v>
      </c>
      <c r="H2" s="8">
        <v>28852.41</v>
      </c>
      <c r="I2" s="8">
        <v>81121.14</v>
      </c>
      <c r="J2" s="8">
        <v>1412</v>
      </c>
      <c r="K2" s="8">
        <v>187</v>
      </c>
      <c r="L2" s="8">
        <v>7115.55</v>
      </c>
      <c r="M2" s="8">
        <v>0.5</v>
      </c>
      <c r="N2" s="8">
        <v>5.8</v>
      </c>
      <c r="O2" s="8">
        <v>0</v>
      </c>
      <c r="P2" s="8">
        <v>0</v>
      </c>
      <c r="Q2" s="8" t="s">
        <v>1086</v>
      </c>
    </row>
    <row r="3" spans="1:17" x14ac:dyDescent="0.45">
      <c r="A3" s="8">
        <v>66.2</v>
      </c>
      <c r="B3" s="8">
        <v>60048.49</v>
      </c>
      <c r="C3" s="8">
        <v>645</v>
      </c>
      <c r="D3" s="8">
        <v>1</v>
      </c>
      <c r="E3" s="8">
        <v>0</v>
      </c>
      <c r="F3" s="8">
        <v>156</v>
      </c>
      <c r="G3" s="8">
        <v>26.74</v>
      </c>
      <c r="H3" s="8">
        <v>6053.54</v>
      </c>
      <c r="I3" s="8">
        <v>49837.2</v>
      </c>
      <c r="J3" s="8">
        <v>4721</v>
      </c>
      <c r="K3" s="8">
        <v>156</v>
      </c>
      <c r="L3" s="8">
        <v>4374.2299999999996</v>
      </c>
      <c r="M3" s="8">
        <v>3.5</v>
      </c>
      <c r="N3" s="8">
        <v>6.6</v>
      </c>
      <c r="O3" s="8">
        <v>0</v>
      </c>
      <c r="P3" s="8">
        <v>0</v>
      </c>
      <c r="Q3" s="8" t="s">
        <v>1086</v>
      </c>
    </row>
    <row r="4" spans="1:17" x14ac:dyDescent="0.45">
      <c r="A4" s="8">
        <v>52.3</v>
      </c>
      <c r="B4" s="8">
        <v>107861.52</v>
      </c>
      <c r="C4" s="8">
        <v>661</v>
      </c>
      <c r="D4" s="8">
        <v>0</v>
      </c>
      <c r="E4" s="8">
        <v>1</v>
      </c>
      <c r="F4" s="8">
        <v>173</v>
      </c>
      <c r="G4" s="8">
        <v>28.23</v>
      </c>
      <c r="H4" s="8">
        <v>27116.959999999999</v>
      </c>
      <c r="I4" s="8">
        <v>72024.13</v>
      </c>
      <c r="J4" s="8">
        <v>685</v>
      </c>
      <c r="K4" s="8">
        <v>173</v>
      </c>
      <c r="L4" s="8">
        <v>7155.52</v>
      </c>
      <c r="M4" s="8">
        <v>1.9</v>
      </c>
      <c r="N4" s="8">
        <v>6.2</v>
      </c>
      <c r="O4" s="8">
        <v>0</v>
      </c>
      <c r="P4" s="8">
        <v>0</v>
      </c>
      <c r="Q4" s="8" t="s">
        <v>1086</v>
      </c>
    </row>
    <row r="5" spans="1:17" x14ac:dyDescent="0.45">
      <c r="A5" s="8">
        <v>46.7</v>
      </c>
      <c r="B5" s="8">
        <v>74072.91</v>
      </c>
      <c r="C5" s="8">
        <v>639</v>
      </c>
      <c r="D5" s="8">
        <v>0</v>
      </c>
      <c r="E5" s="8">
        <v>1</v>
      </c>
      <c r="F5" s="8">
        <v>274</v>
      </c>
      <c r="G5" s="8">
        <v>36.49</v>
      </c>
      <c r="H5" s="8">
        <v>14221.91</v>
      </c>
      <c r="I5" s="8">
        <v>52159.75</v>
      </c>
      <c r="J5" s="8">
        <v>4138</v>
      </c>
      <c r="K5" s="8">
        <v>274</v>
      </c>
      <c r="L5" s="8">
        <v>3732.32</v>
      </c>
      <c r="M5" s="8">
        <v>1.4</v>
      </c>
      <c r="N5" s="8">
        <v>7</v>
      </c>
      <c r="O5" s="8">
        <v>0</v>
      </c>
      <c r="P5" s="8">
        <v>0</v>
      </c>
      <c r="Q5" s="8" t="s">
        <v>1086</v>
      </c>
    </row>
    <row r="6" spans="1:17" x14ac:dyDescent="0.45">
      <c r="A6" s="8">
        <v>41.6</v>
      </c>
      <c r="B6" s="8">
        <v>125411.01</v>
      </c>
      <c r="C6" s="8">
        <v>756</v>
      </c>
      <c r="D6" s="8">
        <v>0</v>
      </c>
      <c r="E6" s="8">
        <v>1</v>
      </c>
      <c r="F6" s="8">
        <v>229</v>
      </c>
      <c r="G6" s="8">
        <v>42.75</v>
      </c>
      <c r="H6" s="8">
        <v>26135.61</v>
      </c>
      <c r="I6" s="8">
        <v>90668.67</v>
      </c>
      <c r="J6" s="8">
        <v>1418</v>
      </c>
      <c r="K6" s="8">
        <v>229</v>
      </c>
      <c r="L6" s="8">
        <v>1066.95</v>
      </c>
      <c r="M6" s="8">
        <v>5.0999999999999996</v>
      </c>
      <c r="N6" s="8">
        <v>9.1</v>
      </c>
      <c r="O6" s="8">
        <v>0</v>
      </c>
      <c r="P6" s="8">
        <v>0</v>
      </c>
      <c r="Q6" s="8" t="s">
        <v>1086</v>
      </c>
    </row>
    <row r="7" spans="1:17" x14ac:dyDescent="0.45">
      <c r="A7" s="8">
        <v>24.3</v>
      </c>
      <c r="B7" s="8">
        <v>68601.62</v>
      </c>
      <c r="C7" s="8">
        <v>581</v>
      </c>
      <c r="D7" s="8">
        <v>1</v>
      </c>
      <c r="E7" s="8">
        <v>0</v>
      </c>
      <c r="F7" s="8">
        <v>89</v>
      </c>
      <c r="G7" s="8">
        <v>44.45</v>
      </c>
      <c r="H7" s="8">
        <v>29878.06</v>
      </c>
      <c r="I7" s="8">
        <v>25483.87</v>
      </c>
      <c r="J7" s="8">
        <v>4424</v>
      </c>
      <c r="K7" s="8">
        <v>89</v>
      </c>
      <c r="L7" s="8">
        <v>3371.25</v>
      </c>
      <c r="M7" s="8">
        <v>4.9000000000000004</v>
      </c>
      <c r="N7" s="8">
        <v>4.8</v>
      </c>
      <c r="O7" s="8">
        <v>0</v>
      </c>
      <c r="P7" s="8">
        <v>0</v>
      </c>
      <c r="Q7" s="8" t="s">
        <v>1086</v>
      </c>
    </row>
    <row r="8" spans="1:17" x14ac:dyDescent="0.45">
      <c r="A8" s="8">
        <v>58.8</v>
      </c>
      <c r="B8" s="8">
        <v>97211.38</v>
      </c>
      <c r="C8" s="8">
        <v>699</v>
      </c>
      <c r="D8" s="8">
        <v>0</v>
      </c>
      <c r="E8" s="8">
        <v>0</v>
      </c>
      <c r="F8" s="8">
        <v>131</v>
      </c>
      <c r="G8" s="8">
        <v>71.58</v>
      </c>
      <c r="H8" s="8">
        <v>7496.72</v>
      </c>
      <c r="I8" s="8">
        <v>58480.98</v>
      </c>
      <c r="J8" s="8">
        <v>682</v>
      </c>
      <c r="K8" s="8">
        <v>131</v>
      </c>
      <c r="L8" s="8">
        <v>4327.8100000000004</v>
      </c>
      <c r="M8" s="8">
        <v>6.2</v>
      </c>
      <c r="N8" s="8">
        <v>3.1</v>
      </c>
      <c r="O8" s="8">
        <v>0</v>
      </c>
      <c r="P8" s="8">
        <v>0</v>
      </c>
      <c r="Q8" s="8" t="s">
        <v>1086</v>
      </c>
    </row>
    <row r="9" spans="1:17" x14ac:dyDescent="0.45">
      <c r="A9" s="8">
        <v>62.3</v>
      </c>
      <c r="B9" s="8">
        <v>82712.22</v>
      </c>
      <c r="C9" s="8">
        <v>540</v>
      </c>
      <c r="D9" s="8">
        <v>0</v>
      </c>
      <c r="E9" s="8">
        <v>1</v>
      </c>
      <c r="F9" s="8">
        <v>219</v>
      </c>
      <c r="G9" s="8">
        <v>91.8</v>
      </c>
      <c r="H9" s="8">
        <v>40261.57</v>
      </c>
      <c r="I9" s="8">
        <v>76501.97</v>
      </c>
      <c r="J9" s="8">
        <v>3617</v>
      </c>
      <c r="K9" s="8">
        <v>219</v>
      </c>
      <c r="L9" s="8">
        <v>9546.86</v>
      </c>
      <c r="M9" s="8">
        <v>6.9</v>
      </c>
      <c r="N9" s="8">
        <v>10.1</v>
      </c>
      <c r="O9" s="8">
        <v>0</v>
      </c>
      <c r="P9" s="8">
        <v>0</v>
      </c>
      <c r="Q9" s="8" t="s">
        <v>1086</v>
      </c>
    </row>
    <row r="10" spans="1:17" x14ac:dyDescent="0.45">
      <c r="A10" s="8">
        <v>37.299999999999997</v>
      </c>
      <c r="B10" s="8">
        <v>87278</v>
      </c>
      <c r="C10" s="8">
        <v>666</v>
      </c>
      <c r="D10" s="8">
        <v>0</v>
      </c>
      <c r="E10" s="8">
        <v>0</v>
      </c>
      <c r="F10" s="8">
        <v>283</v>
      </c>
      <c r="G10" s="8">
        <v>102.29</v>
      </c>
      <c r="H10" s="8">
        <v>10839.09</v>
      </c>
      <c r="I10" s="8">
        <v>61773.15</v>
      </c>
      <c r="J10" s="8">
        <v>4670</v>
      </c>
      <c r="K10" s="8">
        <v>283</v>
      </c>
      <c r="L10" s="8">
        <v>4600.43</v>
      </c>
      <c r="M10" s="8">
        <v>6.4</v>
      </c>
      <c r="N10" s="8">
        <v>0.5</v>
      </c>
      <c r="O10" s="8">
        <v>0</v>
      </c>
      <c r="P10" s="8">
        <v>0</v>
      </c>
      <c r="Q10" s="8" t="s">
        <v>1086</v>
      </c>
    </row>
    <row r="11" spans="1:17" x14ac:dyDescent="0.45">
      <c r="A11" s="8">
        <v>51.1</v>
      </c>
      <c r="B11" s="8">
        <v>90648.23</v>
      </c>
      <c r="C11" s="8">
        <v>517</v>
      </c>
      <c r="D11" s="8">
        <v>0</v>
      </c>
      <c r="E11" s="8">
        <v>0</v>
      </c>
      <c r="F11" s="8">
        <v>52</v>
      </c>
      <c r="G11" s="8">
        <v>106.85</v>
      </c>
      <c r="H11" s="8">
        <v>38930.54</v>
      </c>
      <c r="I11" s="8">
        <v>51265.61</v>
      </c>
      <c r="J11" s="8">
        <v>1225</v>
      </c>
      <c r="K11" s="8">
        <v>52</v>
      </c>
      <c r="L11" s="8">
        <v>9997.42</v>
      </c>
      <c r="M11" s="8">
        <v>4.7</v>
      </c>
      <c r="N11" s="8">
        <v>6.9</v>
      </c>
      <c r="O11" s="8">
        <v>0</v>
      </c>
      <c r="P11" s="8">
        <v>0</v>
      </c>
      <c r="Q11" s="8" t="s">
        <v>1086</v>
      </c>
    </row>
    <row r="12" spans="1:17" x14ac:dyDescent="0.45">
      <c r="A12" s="8">
        <v>58.2</v>
      </c>
      <c r="B12" s="8">
        <v>129896.58</v>
      </c>
      <c r="C12" s="8">
        <v>833</v>
      </c>
      <c r="D12" s="8">
        <v>1</v>
      </c>
      <c r="E12" s="8">
        <v>0</v>
      </c>
      <c r="F12" s="8">
        <v>227</v>
      </c>
      <c r="G12" s="8">
        <v>107.39</v>
      </c>
      <c r="H12" s="8">
        <v>27346.68</v>
      </c>
      <c r="I12" s="8">
        <v>100486.19</v>
      </c>
      <c r="J12" s="8">
        <v>1755</v>
      </c>
      <c r="K12" s="8">
        <v>227</v>
      </c>
      <c r="L12" s="8">
        <v>383.16</v>
      </c>
      <c r="M12" s="8">
        <v>0.5</v>
      </c>
      <c r="N12" s="8">
        <v>4.7</v>
      </c>
      <c r="O12" s="8">
        <v>0</v>
      </c>
      <c r="P12" s="8">
        <v>0</v>
      </c>
      <c r="Q12" s="8" t="s">
        <v>1086</v>
      </c>
    </row>
    <row r="13" spans="1:17" x14ac:dyDescent="0.45">
      <c r="A13" s="8">
        <v>38.6</v>
      </c>
      <c r="B13" s="8">
        <v>72169.960000000006</v>
      </c>
      <c r="C13" s="8">
        <v>669</v>
      </c>
      <c r="D13" s="8">
        <v>0</v>
      </c>
      <c r="E13" s="8">
        <v>1</v>
      </c>
      <c r="F13" s="8">
        <v>106</v>
      </c>
      <c r="G13" s="8">
        <v>112.1</v>
      </c>
      <c r="H13" s="8">
        <v>25846.73</v>
      </c>
      <c r="I13" s="8">
        <v>49916.4</v>
      </c>
      <c r="J13" s="8">
        <v>3155</v>
      </c>
      <c r="K13" s="8">
        <v>106</v>
      </c>
      <c r="L13" s="8">
        <v>574.27</v>
      </c>
      <c r="M13" s="8">
        <v>0.6</v>
      </c>
      <c r="N13" s="8">
        <v>5.0999999999999996</v>
      </c>
      <c r="O13" s="8">
        <v>0</v>
      </c>
      <c r="P13" s="8">
        <v>0</v>
      </c>
      <c r="Q13" s="8" t="s">
        <v>1086</v>
      </c>
    </row>
    <row r="14" spans="1:17" x14ac:dyDescent="0.45">
      <c r="A14" s="8">
        <v>37.4</v>
      </c>
      <c r="B14" s="8">
        <v>107401.8</v>
      </c>
      <c r="C14" s="8">
        <v>703</v>
      </c>
      <c r="D14" s="8">
        <v>0</v>
      </c>
      <c r="E14" s="8">
        <v>0</v>
      </c>
      <c r="F14" s="8">
        <v>131</v>
      </c>
      <c r="G14" s="8">
        <v>115.1</v>
      </c>
      <c r="H14" s="8">
        <v>22234.74</v>
      </c>
      <c r="I14" s="8">
        <v>73604.320000000007</v>
      </c>
      <c r="J14" s="8">
        <v>4329</v>
      </c>
      <c r="K14" s="8">
        <v>131</v>
      </c>
      <c r="L14" s="8">
        <v>633.85</v>
      </c>
      <c r="M14" s="8">
        <v>3.6</v>
      </c>
      <c r="N14" s="8">
        <v>3.1</v>
      </c>
      <c r="O14" s="8">
        <v>0</v>
      </c>
      <c r="P14" s="8">
        <v>0</v>
      </c>
      <c r="Q14" s="8" t="s">
        <v>1086</v>
      </c>
    </row>
    <row r="15" spans="1:17" x14ac:dyDescent="0.45">
      <c r="A15" s="8">
        <v>32.700000000000003</v>
      </c>
      <c r="B15" s="8">
        <v>136931.96</v>
      </c>
      <c r="C15" s="8">
        <v>607</v>
      </c>
      <c r="D15" s="8">
        <v>1</v>
      </c>
      <c r="E15" s="8">
        <v>1</v>
      </c>
      <c r="F15" s="8">
        <v>273</v>
      </c>
      <c r="G15" s="8">
        <v>145.29</v>
      </c>
      <c r="H15" s="8">
        <v>70768.02</v>
      </c>
      <c r="I15" s="8">
        <v>94650.3</v>
      </c>
      <c r="J15" s="8">
        <v>2786</v>
      </c>
      <c r="K15" s="8">
        <v>273</v>
      </c>
      <c r="L15" s="8">
        <v>8905.7900000000009</v>
      </c>
      <c r="M15" s="8">
        <v>4.5999999999999996</v>
      </c>
      <c r="N15" s="8">
        <v>8</v>
      </c>
      <c r="O15" s="8">
        <v>0</v>
      </c>
      <c r="P15" s="8">
        <v>0</v>
      </c>
      <c r="Q15" s="8" t="s">
        <v>1086</v>
      </c>
    </row>
    <row r="16" spans="1:17" x14ac:dyDescent="0.45">
      <c r="A16" s="8">
        <v>51.2</v>
      </c>
      <c r="B16" s="8">
        <v>94663.7</v>
      </c>
      <c r="C16" s="8">
        <v>736</v>
      </c>
      <c r="D16" s="8">
        <v>1</v>
      </c>
      <c r="E16" s="8">
        <v>0</v>
      </c>
      <c r="F16" s="8">
        <v>54</v>
      </c>
      <c r="G16" s="8">
        <v>151.38</v>
      </c>
      <c r="H16" s="8">
        <v>484.75</v>
      </c>
      <c r="I16" s="8">
        <v>82508.7</v>
      </c>
      <c r="J16" s="8">
        <v>3300</v>
      </c>
      <c r="K16" s="8">
        <v>54</v>
      </c>
      <c r="L16" s="8">
        <v>8426.15</v>
      </c>
      <c r="M16" s="8">
        <v>3.8</v>
      </c>
      <c r="N16" s="8">
        <v>9.5</v>
      </c>
      <c r="O16" s="8">
        <v>0</v>
      </c>
      <c r="P16" s="8">
        <v>0</v>
      </c>
      <c r="Q16" s="8" t="s">
        <v>1086</v>
      </c>
    </row>
    <row r="17" spans="1:17" x14ac:dyDescent="0.45">
      <c r="A17" s="8">
        <v>53.5</v>
      </c>
      <c r="B17" s="8">
        <v>102870.69</v>
      </c>
      <c r="C17" s="8">
        <v>647</v>
      </c>
      <c r="D17" s="8">
        <v>0</v>
      </c>
      <c r="E17" s="8">
        <v>0</v>
      </c>
      <c r="F17" s="8">
        <v>67</v>
      </c>
      <c r="G17" s="8">
        <v>161.30000000000001</v>
      </c>
      <c r="H17" s="8">
        <v>39525.870000000003</v>
      </c>
      <c r="I17" s="8">
        <v>80150.27</v>
      </c>
      <c r="J17" s="8">
        <v>3636</v>
      </c>
      <c r="K17" s="8">
        <v>67</v>
      </c>
      <c r="L17" s="8">
        <v>853.04</v>
      </c>
      <c r="M17" s="8">
        <v>5.0999999999999996</v>
      </c>
      <c r="N17" s="8">
        <v>6.8</v>
      </c>
      <c r="O17" s="8">
        <v>0</v>
      </c>
      <c r="P17" s="8">
        <v>0</v>
      </c>
      <c r="Q17" s="8" t="s">
        <v>1086</v>
      </c>
    </row>
    <row r="18" spans="1:17" x14ac:dyDescent="0.45">
      <c r="A18" s="8">
        <v>25.9</v>
      </c>
      <c r="B18" s="8">
        <v>132311.64000000001</v>
      </c>
      <c r="C18" s="8">
        <v>665</v>
      </c>
      <c r="D18" s="8">
        <v>0</v>
      </c>
      <c r="E18" s="8">
        <v>1</v>
      </c>
      <c r="F18" s="8">
        <v>148</v>
      </c>
      <c r="G18" s="8">
        <v>163.78</v>
      </c>
      <c r="H18" s="8">
        <v>22635.88</v>
      </c>
      <c r="I18" s="8">
        <v>96010.22</v>
      </c>
      <c r="J18" s="8">
        <v>4353</v>
      </c>
      <c r="K18" s="8">
        <v>148</v>
      </c>
      <c r="L18" s="8">
        <v>8405.6</v>
      </c>
      <c r="M18" s="8">
        <v>6.4</v>
      </c>
      <c r="N18" s="8">
        <v>7.2</v>
      </c>
      <c r="O18" s="8">
        <v>0</v>
      </c>
      <c r="P18" s="8">
        <v>0</v>
      </c>
      <c r="Q18" s="8" t="s">
        <v>1086</v>
      </c>
    </row>
    <row r="19" spans="1:17" x14ac:dyDescent="0.45">
      <c r="A19" s="8">
        <v>48</v>
      </c>
      <c r="B19" s="8">
        <v>79490.179999999993</v>
      </c>
      <c r="C19" s="8">
        <v>752</v>
      </c>
      <c r="D19" s="8">
        <v>0</v>
      </c>
      <c r="E19" s="8">
        <v>1</v>
      </c>
      <c r="F19" s="8">
        <v>142</v>
      </c>
      <c r="G19" s="8">
        <v>170.98</v>
      </c>
      <c r="H19" s="8">
        <v>4037.76</v>
      </c>
      <c r="I19" s="8">
        <v>34134.54</v>
      </c>
      <c r="J19" s="8">
        <v>646</v>
      </c>
      <c r="K19" s="8">
        <v>142</v>
      </c>
      <c r="L19" s="8">
        <v>9044.77</v>
      </c>
      <c r="M19" s="8">
        <v>2.7</v>
      </c>
      <c r="N19" s="8">
        <v>4.4000000000000004</v>
      </c>
      <c r="O19" s="8">
        <v>0</v>
      </c>
      <c r="P19" s="8">
        <v>0</v>
      </c>
      <c r="Q19" s="8" t="s">
        <v>1086</v>
      </c>
    </row>
    <row r="20" spans="1:17" x14ac:dyDescent="0.45">
      <c r="A20" s="8">
        <v>50.5</v>
      </c>
      <c r="B20" s="8">
        <v>95483.520000000004</v>
      </c>
      <c r="C20" s="8">
        <v>780</v>
      </c>
      <c r="D20" s="8">
        <v>0</v>
      </c>
      <c r="E20" s="8">
        <v>1</v>
      </c>
      <c r="F20" s="8">
        <v>6</v>
      </c>
      <c r="G20" s="8">
        <v>180.15</v>
      </c>
      <c r="H20" s="8">
        <v>32430.39</v>
      </c>
      <c r="I20" s="8">
        <v>81943.05</v>
      </c>
      <c r="J20" s="8">
        <v>3800</v>
      </c>
      <c r="K20" s="8">
        <v>6</v>
      </c>
      <c r="L20" s="8">
        <v>4163.59</v>
      </c>
      <c r="M20" s="8">
        <v>2.7</v>
      </c>
      <c r="N20" s="8">
        <v>2.8</v>
      </c>
      <c r="O20" s="8">
        <v>0</v>
      </c>
      <c r="P20" s="8">
        <v>0</v>
      </c>
      <c r="Q20" s="8" t="s">
        <v>1086</v>
      </c>
    </row>
    <row r="21" spans="1:17" x14ac:dyDescent="0.45">
      <c r="A21" s="8">
        <v>54.7</v>
      </c>
      <c r="B21" s="8">
        <v>85975.92</v>
      </c>
      <c r="C21" s="8">
        <v>616</v>
      </c>
      <c r="D21" s="8">
        <v>0</v>
      </c>
      <c r="E21" s="8">
        <v>1</v>
      </c>
      <c r="F21" s="8">
        <v>23</v>
      </c>
      <c r="G21" s="8">
        <v>185.1</v>
      </c>
      <c r="H21" s="8">
        <v>1671.69</v>
      </c>
      <c r="I21" s="8">
        <v>53323.61</v>
      </c>
      <c r="J21" s="8">
        <v>3897</v>
      </c>
      <c r="K21" s="8">
        <v>23</v>
      </c>
      <c r="L21" s="8">
        <v>3564.18</v>
      </c>
      <c r="M21" s="8">
        <v>4.9000000000000004</v>
      </c>
      <c r="N21" s="8">
        <v>4.3</v>
      </c>
      <c r="O21" s="8">
        <v>0</v>
      </c>
      <c r="P21" s="8">
        <v>0</v>
      </c>
      <c r="Q21" s="8" t="s">
        <v>1086</v>
      </c>
    </row>
    <row r="22" spans="1:17" x14ac:dyDescent="0.45">
      <c r="A22" s="8">
        <v>53.2</v>
      </c>
      <c r="B22" s="8">
        <v>89760.84</v>
      </c>
      <c r="C22" s="8">
        <v>670</v>
      </c>
      <c r="D22" s="8">
        <v>1</v>
      </c>
      <c r="E22" s="8">
        <v>1</v>
      </c>
      <c r="F22" s="8">
        <v>254</v>
      </c>
      <c r="G22" s="8">
        <v>187.46</v>
      </c>
      <c r="H22" s="8">
        <v>456.46</v>
      </c>
      <c r="I22" s="8">
        <v>49735.73</v>
      </c>
      <c r="J22" s="8">
        <v>1617</v>
      </c>
      <c r="K22" s="8">
        <v>254</v>
      </c>
      <c r="L22" s="8">
        <v>4084.75</v>
      </c>
      <c r="M22" s="8">
        <v>2.4</v>
      </c>
      <c r="N22" s="8">
        <v>2.9</v>
      </c>
      <c r="O22" s="8">
        <v>0</v>
      </c>
      <c r="P22" s="8">
        <v>0</v>
      </c>
      <c r="Q22" s="8" t="s">
        <v>1086</v>
      </c>
    </row>
    <row r="23" spans="1:17" x14ac:dyDescent="0.45">
      <c r="A23" s="8">
        <v>19.600000000000001</v>
      </c>
      <c r="B23" s="8">
        <v>148819.91</v>
      </c>
      <c r="C23" s="8">
        <v>611</v>
      </c>
      <c r="D23" s="8">
        <v>1</v>
      </c>
      <c r="E23" s="8">
        <v>1</v>
      </c>
      <c r="F23" s="8">
        <v>206</v>
      </c>
      <c r="G23" s="8">
        <v>190.21</v>
      </c>
      <c r="H23" s="8">
        <v>33231.589999999997</v>
      </c>
      <c r="I23" s="8">
        <v>108252.31</v>
      </c>
      <c r="J23" s="8">
        <v>62</v>
      </c>
      <c r="K23" s="8">
        <v>206</v>
      </c>
      <c r="L23" s="8">
        <v>155.01</v>
      </c>
      <c r="M23" s="8">
        <v>2.4</v>
      </c>
      <c r="N23" s="8">
        <v>5.3</v>
      </c>
      <c r="O23" s="8">
        <v>0</v>
      </c>
      <c r="P23" s="8">
        <v>0</v>
      </c>
      <c r="Q23" s="8" t="s">
        <v>1086</v>
      </c>
    </row>
    <row r="24" spans="1:17" x14ac:dyDescent="0.45">
      <c r="A24" s="8">
        <v>21.3</v>
      </c>
      <c r="B24" s="8">
        <v>106913.58</v>
      </c>
      <c r="C24" s="8">
        <v>788</v>
      </c>
      <c r="D24" s="8">
        <v>0</v>
      </c>
      <c r="E24" s="8">
        <v>0</v>
      </c>
      <c r="F24" s="8">
        <v>287</v>
      </c>
      <c r="G24" s="8">
        <v>211.07</v>
      </c>
      <c r="H24" s="8">
        <v>56124.93</v>
      </c>
      <c r="I24" s="8">
        <v>91972.94</v>
      </c>
      <c r="J24" s="8">
        <v>4744</v>
      </c>
      <c r="K24" s="8">
        <v>287</v>
      </c>
      <c r="L24" s="8">
        <v>5574.5</v>
      </c>
      <c r="M24" s="8">
        <v>6</v>
      </c>
      <c r="N24" s="8">
        <v>9.1</v>
      </c>
      <c r="O24" s="8">
        <v>0</v>
      </c>
      <c r="P24" s="8">
        <v>0</v>
      </c>
      <c r="Q24" s="8" t="s">
        <v>1086</v>
      </c>
    </row>
    <row r="25" spans="1:17" x14ac:dyDescent="0.45">
      <c r="A25" s="8">
        <v>48.3</v>
      </c>
      <c r="B25" s="8">
        <v>88026.06</v>
      </c>
      <c r="C25" s="8">
        <v>709</v>
      </c>
      <c r="D25" s="8">
        <v>0</v>
      </c>
      <c r="E25" s="8">
        <v>0</v>
      </c>
      <c r="F25" s="8">
        <v>107</v>
      </c>
      <c r="G25" s="8">
        <v>213.31</v>
      </c>
      <c r="H25" s="8">
        <v>3988.18</v>
      </c>
      <c r="I25" s="8">
        <v>70942.38</v>
      </c>
      <c r="J25" s="8">
        <v>3958</v>
      </c>
      <c r="K25" s="8">
        <v>107</v>
      </c>
      <c r="L25" s="8">
        <v>4306.25</v>
      </c>
      <c r="M25" s="8">
        <v>6.2</v>
      </c>
      <c r="N25" s="8">
        <v>0.5</v>
      </c>
      <c r="O25" s="8">
        <v>0</v>
      </c>
      <c r="P25" s="8">
        <v>0</v>
      </c>
      <c r="Q25" s="8" t="s">
        <v>1086</v>
      </c>
    </row>
    <row r="26" spans="1:17" x14ac:dyDescent="0.45">
      <c r="A26" s="8">
        <v>28.9</v>
      </c>
      <c r="B26" s="8">
        <v>131087.73000000001</v>
      </c>
      <c r="C26" s="8">
        <v>488</v>
      </c>
      <c r="D26" s="8">
        <v>0</v>
      </c>
      <c r="E26" s="8">
        <v>0</v>
      </c>
      <c r="F26" s="8">
        <v>191</v>
      </c>
      <c r="G26" s="8">
        <v>215.91</v>
      </c>
      <c r="H26" s="8">
        <v>60892.88</v>
      </c>
      <c r="I26" s="8">
        <v>75812.509999999995</v>
      </c>
      <c r="J26" s="8">
        <v>402</v>
      </c>
      <c r="K26" s="8">
        <v>191</v>
      </c>
      <c r="L26" s="8">
        <v>199.09</v>
      </c>
      <c r="M26" s="8">
        <v>6.1</v>
      </c>
      <c r="N26" s="8">
        <v>2.4</v>
      </c>
      <c r="O26" s="8">
        <v>0</v>
      </c>
      <c r="P26" s="8">
        <v>0</v>
      </c>
      <c r="Q26" s="8" t="s">
        <v>1086</v>
      </c>
    </row>
    <row r="27" spans="1:17" x14ac:dyDescent="0.45">
      <c r="A27" s="8">
        <v>51.7</v>
      </c>
      <c r="B27" s="8">
        <v>128558.91</v>
      </c>
      <c r="C27" s="8">
        <v>558</v>
      </c>
      <c r="D27" s="8">
        <v>1</v>
      </c>
      <c r="E27" s="8">
        <v>1</v>
      </c>
      <c r="F27" s="8">
        <v>23</v>
      </c>
      <c r="G27" s="8">
        <v>225.94</v>
      </c>
      <c r="H27" s="8">
        <v>2972.91</v>
      </c>
      <c r="I27" s="8">
        <v>91610.81</v>
      </c>
      <c r="J27" s="8">
        <v>42</v>
      </c>
      <c r="K27" s="8">
        <v>23</v>
      </c>
      <c r="L27" s="8">
        <v>3102.5</v>
      </c>
      <c r="M27" s="8">
        <v>3</v>
      </c>
      <c r="N27" s="8">
        <v>7.8</v>
      </c>
      <c r="O27" s="8">
        <v>0</v>
      </c>
      <c r="P27" s="8">
        <v>0</v>
      </c>
      <c r="Q27" s="8" t="s">
        <v>1086</v>
      </c>
    </row>
    <row r="28" spans="1:17" x14ac:dyDescent="0.45">
      <c r="A28" s="8">
        <v>34.1</v>
      </c>
      <c r="B28" s="8">
        <v>85998.1</v>
      </c>
      <c r="C28" s="8">
        <v>528</v>
      </c>
      <c r="D28" s="8">
        <v>1</v>
      </c>
      <c r="E28" s="8">
        <v>0</v>
      </c>
      <c r="F28" s="8">
        <v>43</v>
      </c>
      <c r="G28" s="8">
        <v>231.9</v>
      </c>
      <c r="H28" s="8">
        <v>2072.2199999999998</v>
      </c>
      <c r="I28" s="8">
        <v>54709.7</v>
      </c>
      <c r="J28" s="8">
        <v>1467</v>
      </c>
      <c r="K28" s="8">
        <v>43</v>
      </c>
      <c r="L28" s="8">
        <v>6030.67</v>
      </c>
      <c r="M28" s="8">
        <v>4.0999999999999996</v>
      </c>
      <c r="N28" s="8">
        <v>9.8000000000000007</v>
      </c>
      <c r="O28" s="8">
        <v>0</v>
      </c>
      <c r="P28" s="8">
        <v>0</v>
      </c>
      <c r="Q28" s="8" t="s">
        <v>1086</v>
      </c>
    </row>
    <row r="29" spans="1:17" x14ac:dyDescent="0.45">
      <c r="A29" s="8">
        <v>67.7</v>
      </c>
      <c r="B29" s="8">
        <v>102399.79</v>
      </c>
      <c r="C29" s="8">
        <v>656</v>
      </c>
      <c r="D29" s="8">
        <v>0</v>
      </c>
      <c r="E29" s="8">
        <v>1</v>
      </c>
      <c r="F29" s="8">
        <v>21</v>
      </c>
      <c r="G29" s="8">
        <v>247.35</v>
      </c>
      <c r="H29" s="8">
        <v>56966.33</v>
      </c>
      <c r="I29" s="8">
        <v>73326.25</v>
      </c>
      <c r="J29" s="8">
        <v>4674</v>
      </c>
      <c r="K29" s="8">
        <v>21</v>
      </c>
      <c r="L29" s="8">
        <v>2069.91</v>
      </c>
      <c r="M29" s="8">
        <v>5</v>
      </c>
      <c r="N29" s="8">
        <v>9.8000000000000007</v>
      </c>
      <c r="O29" s="8">
        <v>0</v>
      </c>
      <c r="P29" s="8">
        <v>0</v>
      </c>
      <c r="Q29" s="8" t="s">
        <v>1086</v>
      </c>
    </row>
    <row r="30" spans="1:17" x14ac:dyDescent="0.45">
      <c r="A30" s="8">
        <v>41</v>
      </c>
      <c r="B30" s="8">
        <v>85922.85</v>
      </c>
      <c r="C30" s="8">
        <v>592</v>
      </c>
      <c r="D30" s="8">
        <v>1</v>
      </c>
      <c r="E30" s="8">
        <v>0</v>
      </c>
      <c r="F30" s="8">
        <v>47</v>
      </c>
      <c r="G30" s="8">
        <v>256.52999999999997</v>
      </c>
      <c r="H30" s="8">
        <v>25607.439999999999</v>
      </c>
      <c r="I30" s="8">
        <v>72761.02</v>
      </c>
      <c r="J30" s="8">
        <v>4072</v>
      </c>
      <c r="K30" s="8">
        <v>47</v>
      </c>
      <c r="L30" s="8">
        <v>8120.97</v>
      </c>
      <c r="M30" s="8">
        <v>6.2</v>
      </c>
      <c r="N30" s="8">
        <v>3.3</v>
      </c>
      <c r="O30" s="8">
        <v>0</v>
      </c>
      <c r="P30" s="8">
        <v>0</v>
      </c>
      <c r="Q30" s="8" t="s">
        <v>1086</v>
      </c>
    </row>
    <row r="31" spans="1:17" x14ac:dyDescent="0.45">
      <c r="A31" s="8">
        <v>24.4</v>
      </c>
      <c r="B31" s="8">
        <v>98422</v>
      </c>
      <c r="C31" s="8">
        <v>526</v>
      </c>
      <c r="D31" s="8">
        <v>0</v>
      </c>
      <c r="E31" s="8">
        <v>0</v>
      </c>
      <c r="F31" s="8">
        <v>33</v>
      </c>
      <c r="G31" s="8">
        <v>258.79000000000002</v>
      </c>
      <c r="H31" s="8">
        <v>49302.44</v>
      </c>
      <c r="I31" s="8">
        <v>69155.460000000006</v>
      </c>
      <c r="J31" s="8">
        <v>4537</v>
      </c>
      <c r="K31" s="8">
        <v>33</v>
      </c>
      <c r="L31" s="8">
        <v>9381.16</v>
      </c>
      <c r="M31" s="8">
        <v>7</v>
      </c>
      <c r="N31" s="8">
        <v>7.4</v>
      </c>
      <c r="O31" s="8">
        <v>0</v>
      </c>
      <c r="P31" s="8">
        <v>0</v>
      </c>
      <c r="Q31" s="8" t="s">
        <v>1086</v>
      </c>
    </row>
    <row r="32" spans="1:17" x14ac:dyDescent="0.45">
      <c r="A32" s="8">
        <v>64.599999999999994</v>
      </c>
      <c r="B32" s="8">
        <v>73840.23</v>
      </c>
      <c r="C32" s="8">
        <v>679</v>
      </c>
      <c r="D32" s="8">
        <v>0</v>
      </c>
      <c r="E32" s="8">
        <v>1</v>
      </c>
      <c r="F32" s="8">
        <v>110</v>
      </c>
      <c r="G32" s="8">
        <v>263.22000000000003</v>
      </c>
      <c r="H32" s="8">
        <v>12250.84</v>
      </c>
      <c r="I32" s="8">
        <v>56336.07</v>
      </c>
      <c r="J32" s="8">
        <v>934</v>
      </c>
      <c r="K32" s="8">
        <v>110</v>
      </c>
      <c r="L32" s="8">
        <v>7112.77</v>
      </c>
      <c r="M32" s="8">
        <v>5.5</v>
      </c>
      <c r="N32" s="8">
        <v>1.2</v>
      </c>
      <c r="O32" s="8">
        <v>0</v>
      </c>
      <c r="P32" s="8">
        <v>0</v>
      </c>
      <c r="Q32" s="8" t="s">
        <v>1086</v>
      </c>
    </row>
    <row r="33" spans="1:17" x14ac:dyDescent="0.45">
      <c r="A33" s="8">
        <v>60.2</v>
      </c>
      <c r="B33" s="8">
        <v>131889.09</v>
      </c>
      <c r="C33" s="8">
        <v>665</v>
      </c>
      <c r="D33" s="8">
        <v>0</v>
      </c>
      <c r="E33" s="8">
        <v>0</v>
      </c>
      <c r="F33" s="8">
        <v>147</v>
      </c>
      <c r="G33" s="8">
        <v>270.81</v>
      </c>
      <c r="H33" s="8">
        <v>27828.46</v>
      </c>
      <c r="I33" s="8">
        <v>96086.96</v>
      </c>
      <c r="J33" s="8">
        <v>1893</v>
      </c>
      <c r="K33" s="8">
        <v>147</v>
      </c>
      <c r="L33" s="8">
        <v>6481.74</v>
      </c>
      <c r="M33" s="8">
        <v>4</v>
      </c>
      <c r="N33" s="8">
        <v>5</v>
      </c>
      <c r="O33" s="8">
        <v>0</v>
      </c>
      <c r="P33" s="8">
        <v>0</v>
      </c>
      <c r="Q33" s="8" t="s">
        <v>1086</v>
      </c>
    </row>
    <row r="34" spans="1:17" x14ac:dyDescent="0.45">
      <c r="A34" s="8">
        <v>31.1</v>
      </c>
      <c r="B34" s="8">
        <v>108418.55</v>
      </c>
      <c r="C34" s="8">
        <v>653</v>
      </c>
      <c r="D34" s="8">
        <v>1</v>
      </c>
      <c r="E34" s="8">
        <v>1</v>
      </c>
      <c r="F34" s="8">
        <v>164</v>
      </c>
      <c r="G34" s="8">
        <v>271.19</v>
      </c>
      <c r="H34" s="8">
        <v>1701.9</v>
      </c>
      <c r="I34" s="8">
        <v>52919.19</v>
      </c>
      <c r="J34" s="8">
        <v>3883</v>
      </c>
      <c r="K34" s="8">
        <v>164</v>
      </c>
      <c r="L34" s="8">
        <v>164.32</v>
      </c>
      <c r="M34" s="8">
        <v>4.5</v>
      </c>
      <c r="N34" s="8">
        <v>6.8</v>
      </c>
      <c r="O34" s="8">
        <v>0</v>
      </c>
      <c r="P34" s="8">
        <v>0</v>
      </c>
      <c r="Q34" s="8" t="s">
        <v>1086</v>
      </c>
    </row>
    <row r="35" spans="1:17" x14ac:dyDescent="0.45">
      <c r="A35" s="8">
        <v>62.8</v>
      </c>
      <c r="B35" s="8">
        <v>105899.07</v>
      </c>
      <c r="C35" s="8">
        <v>621</v>
      </c>
      <c r="D35" s="8">
        <v>0</v>
      </c>
      <c r="E35" s="8">
        <v>0</v>
      </c>
      <c r="F35" s="8">
        <v>123</v>
      </c>
      <c r="G35" s="8">
        <v>276</v>
      </c>
      <c r="H35" s="8">
        <v>48846.48</v>
      </c>
      <c r="I35" s="8">
        <v>54742.18</v>
      </c>
      <c r="J35" s="8">
        <v>3156</v>
      </c>
      <c r="K35" s="8">
        <v>123</v>
      </c>
      <c r="L35" s="8">
        <v>3752.75</v>
      </c>
      <c r="M35" s="8">
        <v>4.9000000000000004</v>
      </c>
      <c r="N35" s="8">
        <v>2.2999999999999998</v>
      </c>
      <c r="O35" s="8">
        <v>0</v>
      </c>
      <c r="P35" s="8">
        <v>0</v>
      </c>
      <c r="Q35" s="8" t="s">
        <v>1086</v>
      </c>
    </row>
    <row r="36" spans="1:17" x14ac:dyDescent="0.45">
      <c r="A36" s="8">
        <v>47.1</v>
      </c>
      <c r="B36" s="8">
        <v>98594.240000000005</v>
      </c>
      <c r="C36" s="8">
        <v>677</v>
      </c>
      <c r="D36" s="8">
        <v>0</v>
      </c>
      <c r="E36" s="8">
        <v>1</v>
      </c>
      <c r="F36" s="8">
        <v>65</v>
      </c>
      <c r="G36" s="8">
        <v>277.10000000000002</v>
      </c>
      <c r="H36" s="8">
        <v>5643.21</v>
      </c>
      <c r="I36" s="8">
        <v>56738.66</v>
      </c>
      <c r="J36" s="8">
        <v>1920</v>
      </c>
      <c r="K36" s="8">
        <v>65</v>
      </c>
      <c r="L36" s="8">
        <v>1633.53</v>
      </c>
      <c r="M36" s="8">
        <v>5.4</v>
      </c>
      <c r="N36" s="8">
        <v>3.2</v>
      </c>
      <c r="O36" s="8">
        <v>0</v>
      </c>
      <c r="P36" s="8">
        <v>0</v>
      </c>
      <c r="Q36" s="8" t="s">
        <v>1086</v>
      </c>
    </row>
    <row r="37" spans="1:17" x14ac:dyDescent="0.45">
      <c r="A37" s="8">
        <v>59.2</v>
      </c>
      <c r="B37" s="8">
        <v>111744.57</v>
      </c>
      <c r="C37" s="8">
        <v>632</v>
      </c>
      <c r="D37" s="8">
        <v>1</v>
      </c>
      <c r="E37" s="8">
        <v>1</v>
      </c>
      <c r="F37" s="8">
        <v>217</v>
      </c>
      <c r="G37" s="8">
        <v>311.7</v>
      </c>
      <c r="H37" s="8">
        <v>991.43</v>
      </c>
      <c r="I37" s="8">
        <v>69353.86</v>
      </c>
      <c r="J37" s="8">
        <v>3407</v>
      </c>
      <c r="K37" s="8">
        <v>217</v>
      </c>
      <c r="L37" s="8">
        <v>2676.32</v>
      </c>
      <c r="M37" s="8">
        <v>7</v>
      </c>
      <c r="N37" s="8">
        <v>6.4</v>
      </c>
      <c r="O37" s="8">
        <v>0</v>
      </c>
      <c r="P37" s="8">
        <v>0</v>
      </c>
      <c r="Q37" s="8" t="s">
        <v>1086</v>
      </c>
    </row>
    <row r="38" spans="1:17" x14ac:dyDescent="0.45">
      <c r="A38" s="8">
        <v>41</v>
      </c>
      <c r="B38" s="8">
        <v>93962.4</v>
      </c>
      <c r="C38" s="8">
        <v>770</v>
      </c>
      <c r="D38" s="8">
        <v>0</v>
      </c>
      <c r="E38" s="8">
        <v>1</v>
      </c>
      <c r="F38" s="8">
        <v>298</v>
      </c>
      <c r="G38" s="8">
        <v>314.77999999999997</v>
      </c>
      <c r="H38" s="8">
        <v>74410.559999999998</v>
      </c>
      <c r="I38" s="8">
        <v>69241.22</v>
      </c>
      <c r="J38" s="8">
        <v>3844</v>
      </c>
      <c r="K38" s="8">
        <v>298</v>
      </c>
      <c r="L38" s="8">
        <v>116.62</v>
      </c>
      <c r="M38" s="8">
        <v>5.6</v>
      </c>
      <c r="N38" s="8">
        <v>1.9</v>
      </c>
      <c r="O38" s="8">
        <v>0</v>
      </c>
      <c r="P38" s="8">
        <v>0</v>
      </c>
      <c r="Q38" s="8" t="s">
        <v>1086</v>
      </c>
    </row>
    <row r="39" spans="1:17" x14ac:dyDescent="0.45">
      <c r="A39" s="8">
        <v>19.399999999999999</v>
      </c>
      <c r="B39" s="8">
        <v>110644.01</v>
      </c>
      <c r="C39" s="8">
        <v>683</v>
      </c>
      <c r="D39" s="8">
        <v>0</v>
      </c>
      <c r="E39" s="8">
        <v>0</v>
      </c>
      <c r="F39" s="8">
        <v>57</v>
      </c>
      <c r="G39" s="8">
        <v>328.36</v>
      </c>
      <c r="H39" s="8">
        <v>50688.17</v>
      </c>
      <c r="I39" s="8">
        <v>68431.73</v>
      </c>
      <c r="J39" s="8">
        <v>3990</v>
      </c>
      <c r="K39" s="8">
        <v>57</v>
      </c>
      <c r="L39" s="8">
        <v>1840.15</v>
      </c>
      <c r="M39" s="8">
        <v>4.9000000000000004</v>
      </c>
      <c r="N39" s="8">
        <v>6.9</v>
      </c>
      <c r="O39" s="8">
        <v>0</v>
      </c>
      <c r="P39" s="8">
        <v>0</v>
      </c>
      <c r="Q39" s="8" t="s">
        <v>1086</v>
      </c>
    </row>
    <row r="40" spans="1:17" x14ac:dyDescent="0.45">
      <c r="A40" s="8">
        <v>65.900000000000006</v>
      </c>
      <c r="B40" s="8">
        <v>120684.19</v>
      </c>
      <c r="C40" s="8">
        <v>817</v>
      </c>
      <c r="D40" s="8">
        <v>0</v>
      </c>
      <c r="E40" s="8">
        <v>0</v>
      </c>
      <c r="F40" s="8">
        <v>268</v>
      </c>
      <c r="G40" s="8">
        <v>333.08</v>
      </c>
      <c r="H40" s="8">
        <v>18129.29</v>
      </c>
      <c r="I40" s="8">
        <v>64601.42</v>
      </c>
      <c r="J40" s="8">
        <v>4476</v>
      </c>
      <c r="K40" s="8">
        <v>268</v>
      </c>
      <c r="L40" s="8">
        <v>6528.32</v>
      </c>
      <c r="M40" s="8">
        <v>5.6</v>
      </c>
      <c r="N40" s="8">
        <v>3</v>
      </c>
      <c r="O40" s="8">
        <v>0</v>
      </c>
      <c r="P40" s="8">
        <v>0</v>
      </c>
      <c r="Q40" s="8" t="s">
        <v>1086</v>
      </c>
    </row>
    <row r="41" spans="1:17" x14ac:dyDescent="0.45">
      <c r="A41" s="8">
        <v>74.7</v>
      </c>
      <c r="B41" s="8">
        <v>72171.17</v>
      </c>
      <c r="C41" s="8">
        <v>687</v>
      </c>
      <c r="D41" s="8">
        <v>0</v>
      </c>
      <c r="E41" s="8">
        <v>1</v>
      </c>
      <c r="F41" s="8">
        <v>111</v>
      </c>
      <c r="G41" s="8">
        <v>340.66</v>
      </c>
      <c r="H41" s="8">
        <v>28094.82</v>
      </c>
      <c r="I41" s="8">
        <v>24475.3</v>
      </c>
      <c r="J41" s="8">
        <v>1209</v>
      </c>
      <c r="K41" s="8">
        <v>111</v>
      </c>
      <c r="L41" s="8">
        <v>2483.17</v>
      </c>
      <c r="M41" s="8">
        <v>4.5</v>
      </c>
      <c r="N41" s="8">
        <v>3.8</v>
      </c>
      <c r="O41" s="8">
        <v>0</v>
      </c>
      <c r="P41" s="8">
        <v>0</v>
      </c>
      <c r="Q41" s="8" t="s">
        <v>1086</v>
      </c>
    </row>
    <row r="42" spans="1:17" x14ac:dyDescent="0.45">
      <c r="A42" s="8">
        <v>37.700000000000003</v>
      </c>
      <c r="B42" s="8">
        <v>81342.38</v>
      </c>
      <c r="C42" s="8">
        <v>623</v>
      </c>
      <c r="D42" s="8">
        <v>0</v>
      </c>
      <c r="E42" s="8">
        <v>0</v>
      </c>
      <c r="F42" s="8">
        <v>61</v>
      </c>
      <c r="G42" s="8">
        <v>347.91</v>
      </c>
      <c r="H42" s="8">
        <v>17272.060000000001</v>
      </c>
      <c r="I42" s="8">
        <v>59813.99</v>
      </c>
      <c r="J42" s="8">
        <v>4977</v>
      </c>
      <c r="K42" s="8">
        <v>61</v>
      </c>
      <c r="L42" s="8">
        <v>6792.22</v>
      </c>
      <c r="M42" s="8">
        <v>3.4</v>
      </c>
      <c r="N42" s="8">
        <v>7.9</v>
      </c>
      <c r="O42" s="8">
        <v>0</v>
      </c>
      <c r="P42" s="8">
        <v>0</v>
      </c>
      <c r="Q42" s="8" t="s">
        <v>1086</v>
      </c>
    </row>
    <row r="43" spans="1:17" x14ac:dyDescent="0.45">
      <c r="A43" s="8">
        <v>42.7</v>
      </c>
      <c r="B43" s="8">
        <v>66618.399999999994</v>
      </c>
      <c r="C43" s="8">
        <v>629</v>
      </c>
      <c r="D43" s="8">
        <v>1</v>
      </c>
      <c r="E43" s="8">
        <v>1</v>
      </c>
      <c r="F43" s="8">
        <v>145</v>
      </c>
      <c r="G43" s="8">
        <v>350.76</v>
      </c>
      <c r="H43" s="8">
        <v>6661.52</v>
      </c>
      <c r="I43" s="8">
        <v>30649.49</v>
      </c>
      <c r="J43" s="8">
        <v>4174</v>
      </c>
      <c r="K43" s="8">
        <v>145</v>
      </c>
      <c r="L43" s="8">
        <v>7469.24</v>
      </c>
      <c r="M43" s="8">
        <v>4.9000000000000004</v>
      </c>
      <c r="N43" s="8">
        <v>4.5</v>
      </c>
      <c r="O43" s="8">
        <v>0</v>
      </c>
      <c r="P43" s="8">
        <v>0</v>
      </c>
      <c r="Q43" s="8" t="s">
        <v>1086</v>
      </c>
    </row>
    <row r="44" spans="1:17" x14ac:dyDescent="0.45">
      <c r="A44" s="8">
        <v>41.7</v>
      </c>
      <c r="B44" s="8">
        <v>121994.39</v>
      </c>
      <c r="C44" s="8">
        <v>568</v>
      </c>
      <c r="D44" s="8">
        <v>1</v>
      </c>
      <c r="E44" s="8">
        <v>1</v>
      </c>
      <c r="F44" s="8">
        <v>33</v>
      </c>
      <c r="G44" s="8">
        <v>364.93</v>
      </c>
      <c r="H44" s="8">
        <v>4211.34</v>
      </c>
      <c r="I44" s="8">
        <v>69840.38</v>
      </c>
      <c r="J44" s="8">
        <v>1688</v>
      </c>
      <c r="K44" s="8">
        <v>33</v>
      </c>
      <c r="L44" s="8">
        <v>8930.7199999999993</v>
      </c>
      <c r="M44" s="8">
        <v>6</v>
      </c>
      <c r="N44" s="8">
        <v>6.6</v>
      </c>
      <c r="O44" s="8">
        <v>0</v>
      </c>
      <c r="P44" s="8">
        <v>0</v>
      </c>
      <c r="Q44" s="8" t="s">
        <v>1086</v>
      </c>
    </row>
    <row r="45" spans="1:17" x14ac:dyDescent="0.45">
      <c r="A45" s="8">
        <v>53.1</v>
      </c>
      <c r="B45" s="8">
        <v>66123.77</v>
      </c>
      <c r="C45" s="8">
        <v>592</v>
      </c>
      <c r="D45" s="8">
        <v>0</v>
      </c>
      <c r="E45" s="8">
        <v>0</v>
      </c>
      <c r="F45" s="8">
        <v>73</v>
      </c>
      <c r="G45" s="8">
        <v>382.23</v>
      </c>
      <c r="H45" s="8">
        <v>33180.449999999997</v>
      </c>
      <c r="I45" s="8">
        <v>20414</v>
      </c>
      <c r="J45" s="8">
        <v>3488</v>
      </c>
      <c r="K45" s="8">
        <v>73</v>
      </c>
      <c r="L45" s="8">
        <v>8419.84</v>
      </c>
      <c r="M45" s="8">
        <v>7.1</v>
      </c>
      <c r="N45" s="8">
        <v>1.6</v>
      </c>
      <c r="O45" s="8">
        <v>0</v>
      </c>
      <c r="P45" s="8">
        <v>0</v>
      </c>
      <c r="Q45" s="8" t="s">
        <v>1086</v>
      </c>
    </row>
    <row r="46" spans="1:17" x14ac:dyDescent="0.45">
      <c r="A46" s="8">
        <v>53.2</v>
      </c>
      <c r="B46" s="8">
        <v>60185.55</v>
      </c>
      <c r="C46" s="8">
        <v>777</v>
      </c>
      <c r="D46" s="8">
        <v>1</v>
      </c>
      <c r="E46" s="8">
        <v>1</v>
      </c>
      <c r="F46" s="8">
        <v>5</v>
      </c>
      <c r="G46" s="8">
        <v>382.27</v>
      </c>
      <c r="H46" s="8">
        <v>11746.34</v>
      </c>
      <c r="I46" s="8">
        <v>42744.480000000003</v>
      </c>
      <c r="J46" s="8">
        <v>4985</v>
      </c>
      <c r="K46" s="8">
        <v>5</v>
      </c>
      <c r="L46" s="8">
        <v>2304.73</v>
      </c>
      <c r="M46" s="8">
        <v>6.1</v>
      </c>
      <c r="N46" s="8">
        <v>8.8000000000000007</v>
      </c>
      <c r="O46" s="8">
        <v>0</v>
      </c>
      <c r="P46" s="8">
        <v>0</v>
      </c>
      <c r="Q46" s="8" t="s">
        <v>1086</v>
      </c>
    </row>
    <row r="47" spans="1:17" x14ac:dyDescent="0.45">
      <c r="A47" s="8">
        <v>60</v>
      </c>
      <c r="B47" s="8">
        <v>101484.44</v>
      </c>
      <c r="C47" s="8">
        <v>717</v>
      </c>
      <c r="D47" s="8">
        <v>0</v>
      </c>
      <c r="E47" s="8">
        <v>1</v>
      </c>
      <c r="F47" s="8">
        <v>59</v>
      </c>
      <c r="G47" s="8">
        <v>383.53</v>
      </c>
      <c r="H47" s="8">
        <v>52847.49</v>
      </c>
      <c r="I47" s="8">
        <v>76982.039999999994</v>
      </c>
      <c r="J47" s="8">
        <v>136</v>
      </c>
      <c r="K47" s="8">
        <v>59</v>
      </c>
      <c r="L47" s="8">
        <v>1307.69</v>
      </c>
      <c r="M47" s="8">
        <v>6.8</v>
      </c>
      <c r="N47" s="8">
        <v>3.7</v>
      </c>
      <c r="O47" s="8">
        <v>0</v>
      </c>
      <c r="P47" s="8">
        <v>0</v>
      </c>
      <c r="Q47" s="8" t="s">
        <v>1086</v>
      </c>
    </row>
    <row r="48" spans="1:17" x14ac:dyDescent="0.45">
      <c r="A48" s="8">
        <v>72.5</v>
      </c>
      <c r="B48" s="8">
        <v>84740.92</v>
      </c>
      <c r="C48" s="8">
        <v>740</v>
      </c>
      <c r="D48" s="8">
        <v>0</v>
      </c>
      <c r="E48" s="8">
        <v>1</v>
      </c>
      <c r="F48" s="8">
        <v>19</v>
      </c>
      <c r="G48" s="8">
        <v>422.38</v>
      </c>
      <c r="H48" s="8">
        <v>4569.21</v>
      </c>
      <c r="I48" s="8">
        <v>48833.96</v>
      </c>
      <c r="J48" s="8">
        <v>803</v>
      </c>
      <c r="K48" s="8">
        <v>19</v>
      </c>
      <c r="L48" s="8">
        <v>8602.1299999999992</v>
      </c>
      <c r="M48" s="8">
        <v>5.0999999999999996</v>
      </c>
      <c r="N48" s="8">
        <v>4.8</v>
      </c>
      <c r="O48" s="8">
        <v>0</v>
      </c>
      <c r="P48" s="8">
        <v>0</v>
      </c>
      <c r="Q48" s="8" t="s">
        <v>1086</v>
      </c>
    </row>
    <row r="49" spans="1:17" x14ac:dyDescent="0.45">
      <c r="A49" s="8">
        <v>72.2</v>
      </c>
      <c r="B49" s="8">
        <v>105324.73</v>
      </c>
      <c r="C49" s="8">
        <v>568</v>
      </c>
      <c r="D49" s="8">
        <v>0</v>
      </c>
      <c r="E49" s="8">
        <v>0</v>
      </c>
      <c r="F49" s="8">
        <v>184</v>
      </c>
      <c r="G49" s="8">
        <v>433.68</v>
      </c>
      <c r="H49" s="8">
        <v>5320.17</v>
      </c>
      <c r="I49" s="8">
        <v>88969.98</v>
      </c>
      <c r="J49" s="8">
        <v>741</v>
      </c>
      <c r="K49" s="8">
        <v>184</v>
      </c>
      <c r="L49" s="8">
        <v>3134.48</v>
      </c>
      <c r="M49" s="8">
        <v>3.9</v>
      </c>
      <c r="N49" s="8">
        <v>4.2</v>
      </c>
      <c r="O49" s="8">
        <v>0</v>
      </c>
      <c r="P49" s="8">
        <v>0</v>
      </c>
      <c r="Q49" s="8" t="s">
        <v>1086</v>
      </c>
    </row>
    <row r="50" spans="1:17" x14ac:dyDescent="0.45">
      <c r="A50" s="8">
        <v>51.5</v>
      </c>
      <c r="B50" s="8">
        <v>74610.899999999994</v>
      </c>
      <c r="C50" s="8">
        <v>574</v>
      </c>
      <c r="D50" s="8">
        <v>1</v>
      </c>
      <c r="E50" s="8">
        <v>0</v>
      </c>
      <c r="F50" s="8">
        <v>44</v>
      </c>
      <c r="G50" s="8">
        <v>436.26</v>
      </c>
      <c r="H50" s="8">
        <v>62604.43</v>
      </c>
      <c r="I50" s="8">
        <v>40871.269999999997</v>
      </c>
      <c r="J50" s="8">
        <v>176</v>
      </c>
      <c r="K50" s="8">
        <v>44</v>
      </c>
      <c r="L50" s="8">
        <v>9688.48</v>
      </c>
      <c r="M50" s="8">
        <v>3.9</v>
      </c>
      <c r="N50" s="8">
        <v>0.5</v>
      </c>
      <c r="O50" s="8">
        <v>0</v>
      </c>
      <c r="P50" s="8">
        <v>0</v>
      </c>
      <c r="Q50" s="8" t="s">
        <v>1086</v>
      </c>
    </row>
    <row r="51" spans="1:17" x14ac:dyDescent="0.45">
      <c r="A51" s="8">
        <v>57.2</v>
      </c>
      <c r="B51" s="8">
        <v>97081.46</v>
      </c>
      <c r="C51" s="8">
        <v>651</v>
      </c>
      <c r="D51" s="8">
        <v>1</v>
      </c>
      <c r="E51" s="8">
        <v>0</v>
      </c>
      <c r="F51" s="8">
        <v>17</v>
      </c>
      <c r="G51" s="8">
        <v>448.57</v>
      </c>
      <c r="H51" s="8">
        <v>95431.05</v>
      </c>
      <c r="I51" s="8">
        <v>57314.42</v>
      </c>
      <c r="J51" s="8">
        <v>1011</v>
      </c>
      <c r="K51" s="8">
        <v>17</v>
      </c>
      <c r="L51" s="8">
        <v>8445.58</v>
      </c>
      <c r="M51" s="8">
        <v>1.7</v>
      </c>
      <c r="N51" s="8">
        <v>4</v>
      </c>
      <c r="O51" s="8">
        <v>0</v>
      </c>
      <c r="P51" s="8">
        <v>0</v>
      </c>
      <c r="Q51" s="8" t="s">
        <v>1086</v>
      </c>
    </row>
    <row r="52" spans="1:17" x14ac:dyDescent="0.45">
      <c r="A52" s="8">
        <v>69.2</v>
      </c>
      <c r="B52" s="8">
        <v>42787.27</v>
      </c>
      <c r="C52" s="8">
        <v>617</v>
      </c>
      <c r="D52" s="8">
        <v>0</v>
      </c>
      <c r="E52" s="8">
        <v>0</v>
      </c>
      <c r="F52" s="8">
        <v>41</v>
      </c>
      <c r="G52" s="8">
        <v>458.77</v>
      </c>
      <c r="H52" s="8">
        <v>11153.68</v>
      </c>
      <c r="I52" s="8">
        <v>28037.51</v>
      </c>
      <c r="J52" s="8">
        <v>297</v>
      </c>
      <c r="K52" s="8">
        <v>41</v>
      </c>
      <c r="L52" s="8">
        <v>3248.11</v>
      </c>
      <c r="M52" s="8">
        <v>2.9</v>
      </c>
      <c r="N52" s="8">
        <v>3.8</v>
      </c>
      <c r="O52" s="8">
        <v>0</v>
      </c>
      <c r="P52" s="8">
        <v>0</v>
      </c>
      <c r="Q52" s="8" t="s">
        <v>1086</v>
      </c>
    </row>
    <row r="53" spans="1:17" x14ac:dyDescent="0.45">
      <c r="A53" s="8">
        <v>59.4</v>
      </c>
      <c r="B53" s="8">
        <v>128435.03</v>
      </c>
      <c r="C53" s="8">
        <v>624</v>
      </c>
      <c r="D53" s="8">
        <v>0</v>
      </c>
      <c r="E53" s="8">
        <v>0</v>
      </c>
      <c r="F53" s="8">
        <v>151</v>
      </c>
      <c r="G53" s="8">
        <v>461.31</v>
      </c>
      <c r="H53" s="8">
        <v>2801.74</v>
      </c>
      <c r="I53" s="8">
        <v>87456.97</v>
      </c>
      <c r="J53" s="8">
        <v>2075</v>
      </c>
      <c r="K53" s="8">
        <v>151</v>
      </c>
      <c r="L53" s="8">
        <v>3147.96</v>
      </c>
      <c r="M53" s="8">
        <v>2.2999999999999998</v>
      </c>
      <c r="N53" s="8">
        <v>0.9</v>
      </c>
      <c r="O53" s="8">
        <v>0</v>
      </c>
      <c r="P53" s="8">
        <v>0</v>
      </c>
      <c r="Q53" s="8" t="s">
        <v>1086</v>
      </c>
    </row>
    <row r="54" spans="1:17" x14ac:dyDescent="0.45">
      <c r="A54" s="8">
        <v>34.4</v>
      </c>
      <c r="B54" s="8">
        <v>40724.82</v>
      </c>
      <c r="C54" s="8">
        <v>823</v>
      </c>
      <c r="D54" s="8">
        <v>0</v>
      </c>
      <c r="E54" s="8">
        <v>0</v>
      </c>
      <c r="F54" s="8">
        <v>227</v>
      </c>
      <c r="G54" s="8">
        <v>465.15</v>
      </c>
      <c r="H54" s="8">
        <v>10804.91</v>
      </c>
      <c r="I54" s="8">
        <v>40724.82</v>
      </c>
      <c r="J54" s="8">
        <v>900</v>
      </c>
      <c r="K54" s="8">
        <v>227</v>
      </c>
      <c r="L54" s="8">
        <v>6794.79</v>
      </c>
      <c r="M54" s="8">
        <v>1.2</v>
      </c>
      <c r="N54" s="8">
        <v>1.2</v>
      </c>
      <c r="O54" s="8">
        <v>0</v>
      </c>
      <c r="P54" s="8">
        <v>0</v>
      </c>
      <c r="Q54" s="8" t="s">
        <v>1086</v>
      </c>
    </row>
    <row r="55" spans="1:17" x14ac:dyDescent="0.45">
      <c r="A55" s="8">
        <v>60.7</v>
      </c>
      <c r="B55" s="8">
        <v>72919.520000000004</v>
      </c>
      <c r="C55" s="8">
        <v>553</v>
      </c>
      <c r="D55" s="8">
        <v>0</v>
      </c>
      <c r="E55" s="8">
        <v>1</v>
      </c>
      <c r="F55" s="8">
        <v>17</v>
      </c>
      <c r="G55" s="8">
        <v>469.69</v>
      </c>
      <c r="H55" s="8">
        <v>2978.62</v>
      </c>
      <c r="I55" s="8">
        <v>43391.11</v>
      </c>
      <c r="J55" s="8">
        <v>1275</v>
      </c>
      <c r="K55" s="8">
        <v>17</v>
      </c>
      <c r="L55" s="8">
        <v>7774.27</v>
      </c>
      <c r="M55" s="8">
        <v>5.8</v>
      </c>
      <c r="N55" s="8">
        <v>5.5</v>
      </c>
      <c r="O55" s="8">
        <v>0</v>
      </c>
      <c r="P55" s="8">
        <v>0</v>
      </c>
      <c r="Q55" s="8" t="s">
        <v>1086</v>
      </c>
    </row>
    <row r="56" spans="1:17" x14ac:dyDescent="0.45">
      <c r="A56" s="8">
        <v>18</v>
      </c>
      <c r="B56" s="8">
        <v>87527.07</v>
      </c>
      <c r="C56" s="8">
        <v>637</v>
      </c>
      <c r="D56" s="8">
        <v>1</v>
      </c>
      <c r="E56" s="8">
        <v>0</v>
      </c>
      <c r="F56" s="8">
        <v>178</v>
      </c>
      <c r="G56" s="8">
        <v>485.32</v>
      </c>
      <c r="H56" s="8">
        <v>89909.36</v>
      </c>
      <c r="I56" s="8">
        <v>65225.01</v>
      </c>
      <c r="J56" s="8">
        <v>1784</v>
      </c>
      <c r="K56" s="8">
        <v>178</v>
      </c>
      <c r="L56" s="8">
        <v>4098.16</v>
      </c>
      <c r="M56" s="8">
        <v>5.5</v>
      </c>
      <c r="N56" s="8">
        <v>8.1999999999999993</v>
      </c>
      <c r="O56" s="8">
        <v>0</v>
      </c>
      <c r="P56" s="8">
        <v>0</v>
      </c>
      <c r="Q56" s="8" t="s">
        <v>1086</v>
      </c>
    </row>
    <row r="57" spans="1:17" x14ac:dyDescent="0.45">
      <c r="A57" s="8">
        <v>20.2</v>
      </c>
      <c r="B57" s="8">
        <v>84339.38</v>
      </c>
      <c r="C57" s="8">
        <v>565</v>
      </c>
      <c r="D57" s="8">
        <v>0</v>
      </c>
      <c r="E57" s="8">
        <v>0</v>
      </c>
      <c r="F57" s="8">
        <v>218</v>
      </c>
      <c r="G57" s="8">
        <v>530.59</v>
      </c>
      <c r="H57" s="8">
        <v>11661.97</v>
      </c>
      <c r="I57" s="8">
        <v>72904.31</v>
      </c>
      <c r="J57" s="8">
        <v>1896</v>
      </c>
      <c r="K57" s="8">
        <v>218</v>
      </c>
      <c r="L57" s="8">
        <v>7959.91</v>
      </c>
      <c r="M57" s="8">
        <v>3.6</v>
      </c>
      <c r="N57" s="8">
        <v>5</v>
      </c>
      <c r="O57" s="8">
        <v>0</v>
      </c>
      <c r="P57" s="8">
        <v>0</v>
      </c>
      <c r="Q57" s="8" t="s">
        <v>1086</v>
      </c>
    </row>
    <row r="58" spans="1:17" x14ac:dyDescent="0.45">
      <c r="A58" s="8">
        <v>45</v>
      </c>
      <c r="B58" s="8">
        <v>97171.32</v>
      </c>
      <c r="C58" s="8">
        <v>617</v>
      </c>
      <c r="D58" s="8">
        <v>1</v>
      </c>
      <c r="E58" s="8">
        <v>1</v>
      </c>
      <c r="F58" s="8">
        <v>23</v>
      </c>
      <c r="G58" s="8">
        <v>532.34</v>
      </c>
      <c r="H58" s="8">
        <v>7317.64</v>
      </c>
      <c r="I58" s="8">
        <v>74363.710000000006</v>
      </c>
      <c r="J58" s="8">
        <v>3418</v>
      </c>
      <c r="K58" s="8">
        <v>23</v>
      </c>
      <c r="L58" s="8">
        <v>7767.1</v>
      </c>
      <c r="M58" s="8">
        <v>4.3</v>
      </c>
      <c r="N58" s="8">
        <v>6.8</v>
      </c>
      <c r="O58" s="8">
        <v>0</v>
      </c>
      <c r="P58" s="8">
        <v>0</v>
      </c>
      <c r="Q58" s="8" t="s">
        <v>1086</v>
      </c>
    </row>
    <row r="59" spans="1:17" x14ac:dyDescent="0.45">
      <c r="A59" s="8">
        <v>53.5</v>
      </c>
      <c r="B59" s="8">
        <v>93597.54</v>
      </c>
      <c r="C59" s="8">
        <v>664</v>
      </c>
      <c r="D59" s="8">
        <v>0</v>
      </c>
      <c r="E59" s="8">
        <v>0</v>
      </c>
      <c r="F59" s="8">
        <v>201</v>
      </c>
      <c r="G59" s="8">
        <v>534</v>
      </c>
      <c r="H59" s="8">
        <v>35512.54</v>
      </c>
      <c r="I59" s="8">
        <v>49820.73</v>
      </c>
      <c r="J59" s="8">
        <v>3768</v>
      </c>
      <c r="K59" s="8">
        <v>201</v>
      </c>
      <c r="L59" s="8">
        <v>4379.1000000000004</v>
      </c>
      <c r="M59" s="8">
        <v>0.8</v>
      </c>
      <c r="N59" s="8">
        <v>3.5</v>
      </c>
      <c r="O59" s="8">
        <v>0</v>
      </c>
      <c r="P59" s="8">
        <v>0</v>
      </c>
      <c r="Q59" s="8" t="s">
        <v>1086</v>
      </c>
    </row>
    <row r="60" spans="1:17" x14ac:dyDescent="0.45">
      <c r="A60" s="8">
        <v>40.200000000000003</v>
      </c>
      <c r="B60" s="8">
        <v>97340.11</v>
      </c>
      <c r="C60" s="8">
        <v>647</v>
      </c>
      <c r="D60" s="8">
        <v>0</v>
      </c>
      <c r="E60" s="8">
        <v>0</v>
      </c>
      <c r="F60" s="8">
        <v>254</v>
      </c>
      <c r="G60" s="8">
        <v>537.54</v>
      </c>
      <c r="H60" s="8">
        <v>17734.23</v>
      </c>
      <c r="I60" s="8">
        <v>60392.33</v>
      </c>
      <c r="J60" s="8">
        <v>2739</v>
      </c>
      <c r="K60" s="8">
        <v>254</v>
      </c>
      <c r="L60" s="8">
        <v>3294.46</v>
      </c>
      <c r="M60" s="8">
        <v>2.7</v>
      </c>
      <c r="N60" s="8">
        <v>3.9</v>
      </c>
      <c r="O60" s="8">
        <v>0</v>
      </c>
      <c r="P60" s="8">
        <v>0</v>
      </c>
      <c r="Q60" s="8" t="s">
        <v>1086</v>
      </c>
    </row>
    <row r="61" spans="1:17" x14ac:dyDescent="0.45">
      <c r="A61" s="8">
        <v>45.4</v>
      </c>
      <c r="B61" s="8">
        <v>102888.84</v>
      </c>
      <c r="C61" s="8">
        <v>613</v>
      </c>
      <c r="D61" s="8">
        <v>0</v>
      </c>
      <c r="E61" s="8">
        <v>1</v>
      </c>
      <c r="F61" s="8">
        <v>199</v>
      </c>
      <c r="G61" s="8">
        <v>539.62</v>
      </c>
      <c r="H61" s="8">
        <v>8711.36</v>
      </c>
      <c r="I61" s="8">
        <v>52167.03</v>
      </c>
      <c r="J61" s="8">
        <v>1192</v>
      </c>
      <c r="K61" s="8">
        <v>199</v>
      </c>
      <c r="L61" s="8">
        <v>5559.7</v>
      </c>
      <c r="M61" s="8">
        <v>3</v>
      </c>
      <c r="N61" s="8">
        <v>6.2</v>
      </c>
      <c r="O61" s="8">
        <v>0</v>
      </c>
      <c r="P61" s="8">
        <v>0</v>
      </c>
      <c r="Q61" s="8" t="s">
        <v>1086</v>
      </c>
    </row>
    <row r="62" spans="1:17" x14ac:dyDescent="0.45">
      <c r="A62" s="8">
        <v>42.2</v>
      </c>
      <c r="B62" s="8">
        <v>87543.6</v>
      </c>
      <c r="C62" s="8">
        <v>604</v>
      </c>
      <c r="D62" s="8">
        <v>0</v>
      </c>
      <c r="E62" s="8">
        <v>0</v>
      </c>
      <c r="F62" s="8">
        <v>265</v>
      </c>
      <c r="G62" s="8">
        <v>540.26</v>
      </c>
      <c r="H62" s="8">
        <v>9778.25</v>
      </c>
      <c r="I62" s="8">
        <v>56974.53</v>
      </c>
      <c r="J62" s="8">
        <v>1764</v>
      </c>
      <c r="K62" s="8">
        <v>265</v>
      </c>
      <c r="L62" s="8">
        <v>168.38</v>
      </c>
      <c r="M62" s="8">
        <v>3</v>
      </c>
      <c r="N62" s="8">
        <v>3.8</v>
      </c>
      <c r="O62" s="8">
        <v>0</v>
      </c>
      <c r="P62" s="8">
        <v>0</v>
      </c>
      <c r="Q62" s="8" t="s">
        <v>1086</v>
      </c>
    </row>
    <row r="63" spans="1:17" x14ac:dyDescent="0.45">
      <c r="A63" s="8">
        <v>53</v>
      </c>
      <c r="B63" s="8">
        <v>50136.92</v>
      </c>
      <c r="C63" s="8">
        <v>601</v>
      </c>
      <c r="D63" s="8">
        <v>1</v>
      </c>
      <c r="E63" s="8">
        <v>1</v>
      </c>
      <c r="F63" s="8">
        <v>108</v>
      </c>
      <c r="G63" s="8">
        <v>544.5</v>
      </c>
      <c r="H63" s="8">
        <v>5255.39</v>
      </c>
      <c r="I63" s="8">
        <v>37770.839999999997</v>
      </c>
      <c r="J63" s="8">
        <v>2356</v>
      </c>
      <c r="K63" s="8">
        <v>108</v>
      </c>
      <c r="L63" s="8">
        <v>7819.05</v>
      </c>
      <c r="M63" s="8">
        <v>4.5999999999999996</v>
      </c>
      <c r="N63" s="8">
        <v>5.7</v>
      </c>
      <c r="O63" s="8">
        <v>0</v>
      </c>
      <c r="P63" s="8">
        <v>0</v>
      </c>
      <c r="Q63" s="8" t="s">
        <v>1086</v>
      </c>
    </row>
    <row r="64" spans="1:17" x14ac:dyDescent="0.45">
      <c r="A64" s="8">
        <v>63.5</v>
      </c>
      <c r="B64" s="8">
        <v>96386.36</v>
      </c>
      <c r="C64" s="8">
        <v>728</v>
      </c>
      <c r="D64" s="8">
        <v>0</v>
      </c>
      <c r="E64" s="8">
        <v>0</v>
      </c>
      <c r="F64" s="8">
        <v>219</v>
      </c>
      <c r="G64" s="8">
        <v>558.02</v>
      </c>
      <c r="H64" s="8">
        <v>23530.76</v>
      </c>
      <c r="I64" s="8">
        <v>56199.22</v>
      </c>
      <c r="J64" s="8">
        <v>3718</v>
      </c>
      <c r="K64" s="8">
        <v>219</v>
      </c>
      <c r="L64" s="8">
        <v>9719.7900000000009</v>
      </c>
      <c r="M64" s="8">
        <v>1.7</v>
      </c>
      <c r="N64" s="8">
        <v>2.8</v>
      </c>
      <c r="O64" s="8">
        <v>0</v>
      </c>
      <c r="P64" s="8">
        <v>0</v>
      </c>
      <c r="Q64" s="8" t="s">
        <v>1086</v>
      </c>
    </row>
    <row r="65" spans="1:17" x14ac:dyDescent="0.45">
      <c r="A65" s="8">
        <v>38.299999999999997</v>
      </c>
      <c r="B65" s="8">
        <v>93826.82</v>
      </c>
      <c r="C65" s="8">
        <v>746</v>
      </c>
      <c r="D65" s="8">
        <v>0</v>
      </c>
      <c r="E65" s="8">
        <v>0</v>
      </c>
      <c r="F65" s="8">
        <v>293</v>
      </c>
      <c r="G65" s="8">
        <v>563.28</v>
      </c>
      <c r="H65" s="8">
        <v>7577.35</v>
      </c>
      <c r="I65" s="8">
        <v>61198.65</v>
      </c>
      <c r="J65" s="8">
        <v>48</v>
      </c>
      <c r="K65" s="8">
        <v>293</v>
      </c>
      <c r="L65" s="8">
        <v>5775.94</v>
      </c>
      <c r="M65" s="8">
        <v>2.6</v>
      </c>
      <c r="N65" s="8">
        <v>3.1</v>
      </c>
      <c r="O65" s="8">
        <v>0</v>
      </c>
      <c r="P65" s="8">
        <v>0</v>
      </c>
      <c r="Q65" s="8" t="s">
        <v>1086</v>
      </c>
    </row>
    <row r="66" spans="1:17" x14ac:dyDescent="0.45">
      <c r="A66" s="8">
        <v>22</v>
      </c>
      <c r="B66" s="8">
        <v>120085.58</v>
      </c>
      <c r="C66" s="8">
        <v>679</v>
      </c>
      <c r="D66" s="8">
        <v>0</v>
      </c>
      <c r="E66" s="8">
        <v>0</v>
      </c>
      <c r="F66" s="8">
        <v>61</v>
      </c>
      <c r="G66" s="8">
        <v>583.91</v>
      </c>
      <c r="H66" s="8">
        <v>56765.760000000002</v>
      </c>
      <c r="I66" s="8">
        <v>92853.46</v>
      </c>
      <c r="J66" s="8">
        <v>775</v>
      </c>
      <c r="K66" s="8">
        <v>61</v>
      </c>
      <c r="L66" s="8">
        <v>8665.61</v>
      </c>
      <c r="M66" s="8">
        <v>1.9</v>
      </c>
      <c r="N66" s="8">
        <v>7.1</v>
      </c>
      <c r="O66" s="8">
        <v>0</v>
      </c>
      <c r="P66" s="8">
        <v>0</v>
      </c>
      <c r="Q66" s="8" t="s">
        <v>1086</v>
      </c>
    </row>
    <row r="67" spans="1:17" x14ac:dyDescent="0.45">
      <c r="A67" s="8">
        <v>63.1</v>
      </c>
      <c r="B67" s="8">
        <v>108177.71</v>
      </c>
      <c r="C67" s="8">
        <v>631</v>
      </c>
      <c r="D67" s="8">
        <v>0</v>
      </c>
      <c r="E67" s="8">
        <v>1</v>
      </c>
      <c r="F67" s="8">
        <v>287</v>
      </c>
      <c r="G67" s="8">
        <v>587.84</v>
      </c>
      <c r="H67" s="8">
        <v>35387.760000000002</v>
      </c>
      <c r="I67" s="8">
        <v>68734.77</v>
      </c>
      <c r="J67" s="8">
        <v>3066</v>
      </c>
      <c r="K67" s="8">
        <v>287</v>
      </c>
      <c r="L67" s="8">
        <v>3459.99</v>
      </c>
      <c r="M67" s="8">
        <v>1.4</v>
      </c>
      <c r="N67" s="8">
        <v>4.8</v>
      </c>
      <c r="O67" s="8">
        <v>0</v>
      </c>
      <c r="P67" s="8">
        <v>0</v>
      </c>
      <c r="Q67" s="8" t="s">
        <v>1086</v>
      </c>
    </row>
    <row r="68" spans="1:17" x14ac:dyDescent="0.45">
      <c r="A68" s="8">
        <v>39.6</v>
      </c>
      <c r="B68" s="8">
        <v>86184.27</v>
      </c>
      <c r="C68" s="8">
        <v>691</v>
      </c>
      <c r="D68" s="8">
        <v>0</v>
      </c>
      <c r="E68" s="8">
        <v>1</v>
      </c>
      <c r="F68" s="8">
        <v>270</v>
      </c>
      <c r="G68" s="8">
        <v>597.41999999999996</v>
      </c>
      <c r="H68" s="8">
        <v>29036.61</v>
      </c>
      <c r="I68" s="8">
        <v>60136</v>
      </c>
      <c r="J68" s="8">
        <v>3741</v>
      </c>
      <c r="K68" s="8">
        <v>270</v>
      </c>
      <c r="L68" s="8">
        <v>4368.08</v>
      </c>
      <c r="M68" s="8">
        <v>0.6</v>
      </c>
      <c r="N68" s="8">
        <v>0.6</v>
      </c>
      <c r="O68" s="8">
        <v>0</v>
      </c>
      <c r="P68" s="8">
        <v>0</v>
      </c>
      <c r="Q68" s="8" t="s">
        <v>1086</v>
      </c>
    </row>
    <row r="69" spans="1:17" x14ac:dyDescent="0.45">
      <c r="A69" s="8">
        <v>67.7</v>
      </c>
      <c r="B69" s="8">
        <v>87567.57</v>
      </c>
      <c r="C69" s="8">
        <v>667</v>
      </c>
      <c r="D69" s="8">
        <v>1</v>
      </c>
      <c r="E69" s="8">
        <v>1</v>
      </c>
      <c r="F69" s="8">
        <v>223</v>
      </c>
      <c r="G69" s="8">
        <v>598.30999999999995</v>
      </c>
      <c r="H69" s="8">
        <v>30748.29</v>
      </c>
      <c r="I69" s="8">
        <v>52320.57</v>
      </c>
      <c r="J69" s="8">
        <v>2831</v>
      </c>
      <c r="K69" s="8">
        <v>223</v>
      </c>
      <c r="L69" s="8">
        <v>1031.6199999999999</v>
      </c>
      <c r="M69" s="8">
        <v>0.5</v>
      </c>
      <c r="N69" s="8">
        <v>5.7</v>
      </c>
      <c r="O69" s="8">
        <v>0</v>
      </c>
      <c r="P69" s="8">
        <v>0</v>
      </c>
      <c r="Q69" s="8" t="s">
        <v>1086</v>
      </c>
    </row>
    <row r="70" spans="1:17" x14ac:dyDescent="0.45">
      <c r="A70" s="8">
        <v>52.8</v>
      </c>
      <c r="B70" s="8">
        <v>117527.94</v>
      </c>
      <c r="C70" s="8">
        <v>601</v>
      </c>
      <c r="D70" s="8">
        <v>0</v>
      </c>
      <c r="E70" s="8">
        <v>0</v>
      </c>
      <c r="F70" s="8">
        <v>107</v>
      </c>
      <c r="G70" s="8">
        <v>609.51</v>
      </c>
      <c r="H70" s="8">
        <v>11230.92</v>
      </c>
      <c r="I70" s="8">
        <v>75692.09</v>
      </c>
      <c r="J70" s="8">
        <v>3444</v>
      </c>
      <c r="K70" s="8">
        <v>107</v>
      </c>
      <c r="L70" s="8">
        <v>5752.64</v>
      </c>
      <c r="M70" s="8">
        <v>5.3</v>
      </c>
      <c r="N70" s="8">
        <v>8.9</v>
      </c>
      <c r="O70" s="8">
        <v>0</v>
      </c>
      <c r="P70" s="8">
        <v>0</v>
      </c>
      <c r="Q70" s="8" t="s">
        <v>1086</v>
      </c>
    </row>
    <row r="71" spans="1:17" x14ac:dyDescent="0.45">
      <c r="A71" s="8">
        <v>55.2</v>
      </c>
      <c r="B71" s="8">
        <v>140766.85</v>
      </c>
      <c r="C71" s="8">
        <v>686</v>
      </c>
      <c r="D71" s="8">
        <v>1</v>
      </c>
      <c r="E71" s="8">
        <v>1</v>
      </c>
      <c r="F71" s="8">
        <v>88</v>
      </c>
      <c r="G71" s="8">
        <v>660.58</v>
      </c>
      <c r="H71" s="8">
        <v>5506.39</v>
      </c>
      <c r="I71" s="8">
        <v>115193.2</v>
      </c>
      <c r="J71" s="8">
        <v>4840</v>
      </c>
      <c r="K71" s="8">
        <v>88</v>
      </c>
      <c r="L71" s="8">
        <v>6309.29</v>
      </c>
      <c r="M71" s="8">
        <v>2.9</v>
      </c>
      <c r="N71" s="8">
        <v>9.9</v>
      </c>
      <c r="O71" s="8">
        <v>0</v>
      </c>
      <c r="P71" s="8">
        <v>0</v>
      </c>
      <c r="Q71" s="8" t="s">
        <v>1086</v>
      </c>
    </row>
    <row r="72" spans="1:17" x14ac:dyDescent="0.45">
      <c r="A72" s="8">
        <v>51.7</v>
      </c>
      <c r="B72" s="8">
        <v>75634.91</v>
      </c>
      <c r="C72" s="8">
        <v>751</v>
      </c>
      <c r="D72" s="8">
        <v>0</v>
      </c>
      <c r="E72" s="8">
        <v>1</v>
      </c>
      <c r="F72" s="8">
        <v>203</v>
      </c>
      <c r="G72" s="8">
        <v>661.12</v>
      </c>
      <c r="H72" s="8">
        <v>41610.22</v>
      </c>
      <c r="I72" s="8">
        <v>62858.86</v>
      </c>
      <c r="J72" s="8">
        <v>4842</v>
      </c>
      <c r="K72" s="8">
        <v>203</v>
      </c>
      <c r="L72" s="8">
        <v>210.33</v>
      </c>
      <c r="M72" s="8">
        <v>3.9</v>
      </c>
      <c r="N72" s="8">
        <v>1.7</v>
      </c>
      <c r="O72" s="8">
        <v>0</v>
      </c>
      <c r="P72" s="8">
        <v>0</v>
      </c>
      <c r="Q72" s="8" t="s">
        <v>1086</v>
      </c>
    </row>
    <row r="73" spans="1:17" x14ac:dyDescent="0.45">
      <c r="A73" s="8">
        <v>53.6</v>
      </c>
      <c r="B73" s="8">
        <v>70996.179999999993</v>
      </c>
      <c r="C73" s="8">
        <v>483</v>
      </c>
      <c r="D73" s="8">
        <v>0</v>
      </c>
      <c r="E73" s="8">
        <v>1</v>
      </c>
      <c r="F73" s="8">
        <v>211</v>
      </c>
      <c r="G73" s="8">
        <v>711.7</v>
      </c>
      <c r="H73" s="8">
        <v>1681.02</v>
      </c>
      <c r="I73" s="8">
        <v>54824.08</v>
      </c>
      <c r="J73" s="8">
        <v>2698</v>
      </c>
      <c r="K73" s="8">
        <v>211</v>
      </c>
      <c r="L73" s="8">
        <v>1296.18</v>
      </c>
      <c r="M73" s="8">
        <v>3.6</v>
      </c>
      <c r="N73" s="8">
        <v>7.6</v>
      </c>
      <c r="O73" s="8">
        <v>0</v>
      </c>
      <c r="P73" s="8">
        <v>0</v>
      </c>
      <c r="Q73" s="8" t="s">
        <v>1086</v>
      </c>
    </row>
    <row r="74" spans="1:17" x14ac:dyDescent="0.45">
      <c r="A74" s="8">
        <v>47.7</v>
      </c>
      <c r="B74" s="8">
        <v>99295.11</v>
      </c>
      <c r="C74" s="8">
        <v>574</v>
      </c>
      <c r="D74" s="8">
        <v>1</v>
      </c>
      <c r="E74" s="8">
        <v>1</v>
      </c>
      <c r="F74" s="8">
        <v>1</v>
      </c>
      <c r="G74" s="8">
        <v>733.7</v>
      </c>
      <c r="H74" s="8">
        <v>28542.79</v>
      </c>
      <c r="I74" s="8">
        <v>79746.69</v>
      </c>
      <c r="J74" s="8">
        <v>3494</v>
      </c>
      <c r="K74" s="8">
        <v>1</v>
      </c>
      <c r="L74" s="8">
        <v>7327.09</v>
      </c>
      <c r="M74" s="8">
        <v>5.2</v>
      </c>
      <c r="N74" s="8">
        <v>2.2000000000000002</v>
      </c>
      <c r="O74" s="8">
        <v>0</v>
      </c>
      <c r="P74" s="8">
        <v>0</v>
      </c>
      <c r="Q74" s="8" t="s">
        <v>1086</v>
      </c>
    </row>
    <row r="75" spans="1:17" x14ac:dyDescent="0.45">
      <c r="A75" s="8">
        <v>57.4</v>
      </c>
      <c r="B75" s="8">
        <v>64010.37</v>
      </c>
      <c r="C75" s="8">
        <v>758</v>
      </c>
      <c r="D75" s="8">
        <v>1</v>
      </c>
      <c r="E75" s="8">
        <v>0</v>
      </c>
      <c r="F75" s="8">
        <v>199</v>
      </c>
      <c r="G75" s="8">
        <v>767.85</v>
      </c>
      <c r="H75" s="8">
        <v>19959.560000000001</v>
      </c>
      <c r="I75" s="8">
        <v>38283.5</v>
      </c>
      <c r="J75" s="8">
        <v>4378</v>
      </c>
      <c r="K75" s="8">
        <v>199</v>
      </c>
      <c r="L75" s="8">
        <v>8034.6</v>
      </c>
      <c r="M75" s="8">
        <v>2.1</v>
      </c>
      <c r="N75" s="8">
        <v>3.6</v>
      </c>
      <c r="O75" s="8">
        <v>0</v>
      </c>
      <c r="P75" s="8">
        <v>0</v>
      </c>
      <c r="Q75" s="8" t="s">
        <v>1086</v>
      </c>
    </row>
    <row r="76" spans="1:17" x14ac:dyDescent="0.45">
      <c r="A76" s="8">
        <v>69.599999999999994</v>
      </c>
      <c r="B76" s="8">
        <v>86501.31</v>
      </c>
      <c r="C76" s="8">
        <v>620</v>
      </c>
      <c r="D76" s="8">
        <v>0</v>
      </c>
      <c r="E76" s="8">
        <v>0</v>
      </c>
      <c r="F76" s="8">
        <v>244</v>
      </c>
      <c r="G76" s="8">
        <v>769.05</v>
      </c>
      <c r="H76" s="8">
        <v>47993.53</v>
      </c>
      <c r="I76" s="8">
        <v>47170.26</v>
      </c>
      <c r="J76" s="8">
        <v>4406</v>
      </c>
      <c r="K76" s="8">
        <v>244</v>
      </c>
      <c r="L76" s="8">
        <v>492.76</v>
      </c>
      <c r="M76" s="8">
        <v>2.7</v>
      </c>
      <c r="N76" s="8">
        <v>5.4</v>
      </c>
      <c r="O76" s="8">
        <v>0</v>
      </c>
      <c r="P76" s="8">
        <v>0</v>
      </c>
      <c r="Q76" s="8" t="s">
        <v>1086</v>
      </c>
    </row>
    <row r="77" spans="1:17" x14ac:dyDescent="0.45">
      <c r="A77" s="8">
        <v>42.8</v>
      </c>
      <c r="B77" s="8">
        <v>94886.82</v>
      </c>
      <c r="C77" s="8">
        <v>676</v>
      </c>
      <c r="D77" s="8">
        <v>1</v>
      </c>
      <c r="E77" s="8">
        <v>0</v>
      </c>
      <c r="F77" s="8">
        <v>155</v>
      </c>
      <c r="G77" s="8">
        <v>771.37</v>
      </c>
      <c r="H77" s="8">
        <v>34966.22</v>
      </c>
      <c r="I77" s="8">
        <v>72431.44</v>
      </c>
      <c r="J77" s="8">
        <v>1969</v>
      </c>
      <c r="K77" s="8">
        <v>155</v>
      </c>
      <c r="L77" s="8">
        <v>2730.13</v>
      </c>
      <c r="M77" s="8">
        <v>6.1</v>
      </c>
      <c r="N77" s="8">
        <v>8.5</v>
      </c>
      <c r="O77" s="8">
        <v>0</v>
      </c>
      <c r="P77" s="8">
        <v>0</v>
      </c>
      <c r="Q77" s="8" t="s">
        <v>1086</v>
      </c>
    </row>
    <row r="78" spans="1:17" x14ac:dyDescent="0.45">
      <c r="A78" s="8">
        <v>54.2</v>
      </c>
      <c r="B78" s="8">
        <v>87509.68</v>
      </c>
      <c r="C78" s="8">
        <v>545</v>
      </c>
      <c r="D78" s="8">
        <v>1</v>
      </c>
      <c r="E78" s="8">
        <v>1</v>
      </c>
      <c r="F78" s="8">
        <v>67</v>
      </c>
      <c r="G78" s="8">
        <v>780.6</v>
      </c>
      <c r="H78" s="8">
        <v>10575.81</v>
      </c>
      <c r="I78" s="8">
        <v>53603.05</v>
      </c>
      <c r="J78" s="8">
        <v>650</v>
      </c>
      <c r="K78" s="8">
        <v>67</v>
      </c>
      <c r="L78" s="8">
        <v>6800.46</v>
      </c>
      <c r="M78" s="8">
        <v>3.9</v>
      </c>
      <c r="N78" s="8">
        <v>2.6</v>
      </c>
      <c r="O78" s="8">
        <v>0</v>
      </c>
      <c r="P78" s="8">
        <v>0</v>
      </c>
      <c r="Q78" s="8" t="s">
        <v>1086</v>
      </c>
    </row>
    <row r="79" spans="1:17" x14ac:dyDescent="0.45">
      <c r="A79" s="8">
        <v>52.8</v>
      </c>
      <c r="B79" s="8">
        <v>123881.69</v>
      </c>
      <c r="C79" s="8">
        <v>686</v>
      </c>
      <c r="D79" s="8">
        <v>0</v>
      </c>
      <c r="E79" s="8">
        <v>0</v>
      </c>
      <c r="F79" s="8">
        <v>230</v>
      </c>
      <c r="G79" s="8">
        <v>803.69</v>
      </c>
      <c r="H79" s="8">
        <v>15834.12</v>
      </c>
      <c r="I79" s="8">
        <v>84778.93</v>
      </c>
      <c r="J79" s="8">
        <v>4624</v>
      </c>
      <c r="K79" s="8">
        <v>230</v>
      </c>
      <c r="L79" s="8">
        <v>6483.84</v>
      </c>
      <c r="M79" s="8">
        <v>6</v>
      </c>
      <c r="N79" s="8">
        <v>3</v>
      </c>
      <c r="O79" s="8">
        <v>0</v>
      </c>
      <c r="P79" s="8">
        <v>0</v>
      </c>
      <c r="Q79" s="8" t="s">
        <v>1086</v>
      </c>
    </row>
    <row r="80" spans="1:17" x14ac:dyDescent="0.45">
      <c r="A80" s="8">
        <v>50.2</v>
      </c>
      <c r="B80" s="8">
        <v>96999.41</v>
      </c>
      <c r="C80" s="8">
        <v>659</v>
      </c>
      <c r="D80" s="8">
        <v>1</v>
      </c>
      <c r="E80" s="8">
        <v>1</v>
      </c>
      <c r="F80" s="8">
        <v>260</v>
      </c>
      <c r="G80" s="8">
        <v>810.83</v>
      </c>
      <c r="H80" s="8">
        <v>6771.68</v>
      </c>
      <c r="I80" s="8">
        <v>53645.7</v>
      </c>
      <c r="J80" s="8">
        <v>4166</v>
      </c>
      <c r="K80" s="8">
        <v>260</v>
      </c>
      <c r="L80" s="8">
        <v>4160.24</v>
      </c>
      <c r="M80" s="8">
        <v>6.2</v>
      </c>
      <c r="N80" s="8">
        <v>5.2</v>
      </c>
      <c r="O80" s="8">
        <v>0</v>
      </c>
      <c r="P80" s="8">
        <v>0</v>
      </c>
      <c r="Q80" s="8" t="s">
        <v>1086</v>
      </c>
    </row>
    <row r="81" spans="1:17" x14ac:dyDescent="0.45">
      <c r="A81" s="8">
        <v>44.2</v>
      </c>
      <c r="B81" s="8">
        <v>98577.76</v>
      </c>
      <c r="C81" s="8">
        <v>594</v>
      </c>
      <c r="D81" s="8">
        <v>0</v>
      </c>
      <c r="E81" s="8">
        <v>1</v>
      </c>
      <c r="F81" s="8">
        <v>184</v>
      </c>
      <c r="G81" s="8">
        <v>813.07</v>
      </c>
      <c r="H81" s="8">
        <v>4985.93</v>
      </c>
      <c r="I81" s="8">
        <v>82802.98</v>
      </c>
      <c r="J81" s="8">
        <v>3501</v>
      </c>
      <c r="K81" s="8">
        <v>184</v>
      </c>
      <c r="L81" s="8">
        <v>456.17</v>
      </c>
      <c r="M81" s="8">
        <v>3.7</v>
      </c>
      <c r="N81" s="8">
        <v>6.4</v>
      </c>
      <c r="O81" s="8">
        <v>0</v>
      </c>
      <c r="P81" s="8">
        <v>0</v>
      </c>
      <c r="Q81" s="8" t="s">
        <v>1086</v>
      </c>
    </row>
    <row r="82" spans="1:17" x14ac:dyDescent="0.45">
      <c r="A82" s="8">
        <v>48.9</v>
      </c>
      <c r="B82" s="8">
        <v>125820.56</v>
      </c>
      <c r="C82" s="8">
        <v>633</v>
      </c>
      <c r="D82" s="8">
        <v>0</v>
      </c>
      <c r="E82" s="8">
        <v>0</v>
      </c>
      <c r="F82" s="8">
        <v>297</v>
      </c>
      <c r="G82" s="8">
        <v>817.16</v>
      </c>
      <c r="H82" s="8">
        <v>1606.58</v>
      </c>
      <c r="I82" s="8">
        <v>74166.080000000002</v>
      </c>
      <c r="J82" s="8">
        <v>1758</v>
      </c>
      <c r="K82" s="8">
        <v>297</v>
      </c>
      <c r="L82" s="8">
        <v>8747.31</v>
      </c>
      <c r="M82" s="8">
        <v>1.9</v>
      </c>
      <c r="N82" s="8">
        <v>7</v>
      </c>
      <c r="O82" s="8">
        <v>0</v>
      </c>
      <c r="P82" s="8">
        <v>0</v>
      </c>
      <c r="Q82" s="8" t="s">
        <v>1086</v>
      </c>
    </row>
    <row r="83" spans="1:17" x14ac:dyDescent="0.45">
      <c r="A83" s="8">
        <v>51</v>
      </c>
      <c r="B83" s="8">
        <v>79943.19</v>
      </c>
      <c r="C83" s="8">
        <v>568</v>
      </c>
      <c r="D83" s="8">
        <v>0</v>
      </c>
      <c r="E83" s="8">
        <v>0</v>
      </c>
      <c r="F83" s="8">
        <v>121</v>
      </c>
      <c r="G83" s="8">
        <v>822.6</v>
      </c>
      <c r="H83" s="8">
        <v>4355.97</v>
      </c>
      <c r="I83" s="8">
        <v>65004</v>
      </c>
      <c r="J83" s="8">
        <v>59</v>
      </c>
      <c r="K83" s="8">
        <v>121</v>
      </c>
      <c r="L83" s="8">
        <v>7443.83</v>
      </c>
      <c r="M83" s="8">
        <v>2.9</v>
      </c>
      <c r="N83" s="8">
        <v>5</v>
      </c>
      <c r="O83" s="8">
        <v>0</v>
      </c>
      <c r="P83" s="8">
        <v>0</v>
      </c>
      <c r="Q83" s="8" t="s">
        <v>1086</v>
      </c>
    </row>
    <row r="84" spans="1:17" x14ac:dyDescent="0.45">
      <c r="A84" s="8">
        <v>49.7</v>
      </c>
      <c r="B84" s="8">
        <v>92766.94</v>
      </c>
      <c r="C84" s="8">
        <v>721</v>
      </c>
      <c r="D84" s="8">
        <v>1</v>
      </c>
      <c r="E84" s="8">
        <v>0</v>
      </c>
      <c r="F84" s="8">
        <v>213</v>
      </c>
      <c r="G84" s="8">
        <v>827.2</v>
      </c>
      <c r="H84" s="8">
        <v>14041.98</v>
      </c>
      <c r="I84" s="8">
        <v>51415.11</v>
      </c>
      <c r="J84" s="8">
        <v>4354</v>
      </c>
      <c r="K84" s="8">
        <v>213</v>
      </c>
      <c r="L84" s="8">
        <v>958.59</v>
      </c>
      <c r="M84" s="8">
        <v>5</v>
      </c>
      <c r="N84" s="8">
        <v>4</v>
      </c>
      <c r="O84" s="8">
        <v>0</v>
      </c>
      <c r="P84" s="8">
        <v>0</v>
      </c>
      <c r="Q84" s="8" t="s">
        <v>1086</v>
      </c>
    </row>
    <row r="85" spans="1:17" x14ac:dyDescent="0.45">
      <c r="A85" s="8">
        <v>36.4</v>
      </c>
      <c r="B85" s="8">
        <v>105262.29</v>
      </c>
      <c r="C85" s="8">
        <v>604</v>
      </c>
      <c r="D85" s="8">
        <v>0</v>
      </c>
      <c r="E85" s="8">
        <v>0</v>
      </c>
      <c r="F85" s="8">
        <v>48</v>
      </c>
      <c r="G85" s="8">
        <v>837.79</v>
      </c>
      <c r="H85" s="8">
        <v>12957.32</v>
      </c>
      <c r="I85" s="8">
        <v>83462.490000000005</v>
      </c>
      <c r="J85" s="8">
        <v>1863</v>
      </c>
      <c r="K85" s="8">
        <v>48</v>
      </c>
      <c r="L85" s="8">
        <v>2136.81</v>
      </c>
      <c r="M85" s="8">
        <v>3.3</v>
      </c>
      <c r="N85" s="8">
        <v>4</v>
      </c>
      <c r="O85" s="8">
        <v>0</v>
      </c>
      <c r="P85" s="8">
        <v>0</v>
      </c>
      <c r="Q85" s="8" t="s">
        <v>1086</v>
      </c>
    </row>
    <row r="86" spans="1:17" x14ac:dyDescent="0.45">
      <c r="A86" s="8">
        <v>70.5</v>
      </c>
      <c r="B86" s="8">
        <v>99510</v>
      </c>
      <c r="C86" s="8">
        <v>650</v>
      </c>
      <c r="D86" s="8">
        <v>1</v>
      </c>
      <c r="E86" s="8">
        <v>1</v>
      </c>
      <c r="F86" s="8">
        <v>71</v>
      </c>
      <c r="G86" s="8">
        <v>863.75</v>
      </c>
      <c r="H86" s="8">
        <v>27895.75</v>
      </c>
      <c r="I86" s="8">
        <v>77753.11</v>
      </c>
      <c r="J86" s="8">
        <v>2208</v>
      </c>
      <c r="K86" s="8">
        <v>71</v>
      </c>
      <c r="L86" s="8">
        <v>1136.8399999999999</v>
      </c>
      <c r="M86" s="8">
        <v>5.3</v>
      </c>
      <c r="N86" s="8">
        <v>7.3</v>
      </c>
      <c r="O86" s="8">
        <v>0</v>
      </c>
      <c r="P86" s="8">
        <v>0</v>
      </c>
      <c r="Q86" s="8" t="s">
        <v>1086</v>
      </c>
    </row>
    <row r="87" spans="1:17" x14ac:dyDescent="0.45">
      <c r="A87" s="8">
        <v>62.4</v>
      </c>
      <c r="B87" s="8">
        <v>114744.25</v>
      </c>
      <c r="C87" s="8">
        <v>707</v>
      </c>
      <c r="D87" s="8">
        <v>0</v>
      </c>
      <c r="E87" s="8">
        <v>0</v>
      </c>
      <c r="F87" s="8">
        <v>29</v>
      </c>
      <c r="G87" s="8">
        <v>869.36</v>
      </c>
      <c r="H87" s="8">
        <v>4428.6899999999996</v>
      </c>
      <c r="I87" s="8">
        <v>68517.740000000005</v>
      </c>
      <c r="J87" s="8">
        <v>1310</v>
      </c>
      <c r="K87" s="8">
        <v>29</v>
      </c>
      <c r="L87" s="8">
        <v>9982.24</v>
      </c>
      <c r="M87" s="8">
        <v>2.2000000000000002</v>
      </c>
      <c r="N87" s="8">
        <v>1.4</v>
      </c>
      <c r="O87" s="8">
        <v>0</v>
      </c>
      <c r="P87" s="8">
        <v>0</v>
      </c>
      <c r="Q87" s="8" t="s">
        <v>1086</v>
      </c>
    </row>
    <row r="88" spans="1:17" x14ac:dyDescent="0.45">
      <c r="A88" s="8">
        <v>42.6</v>
      </c>
      <c r="B88" s="8">
        <v>102351.39</v>
      </c>
      <c r="C88" s="8">
        <v>590</v>
      </c>
      <c r="D88" s="8">
        <v>0</v>
      </c>
      <c r="E88" s="8">
        <v>0</v>
      </c>
      <c r="F88" s="8">
        <v>89</v>
      </c>
      <c r="G88" s="8">
        <v>881.85</v>
      </c>
      <c r="H88" s="8">
        <v>20746.73</v>
      </c>
      <c r="I88" s="8">
        <v>101790.77</v>
      </c>
      <c r="J88" s="8">
        <v>2273</v>
      </c>
      <c r="K88" s="8">
        <v>89</v>
      </c>
      <c r="L88" s="8">
        <v>4473.2299999999996</v>
      </c>
      <c r="M88" s="8">
        <v>7.8</v>
      </c>
      <c r="N88" s="8">
        <v>6.3</v>
      </c>
      <c r="O88" s="8">
        <v>0</v>
      </c>
      <c r="P88" s="8">
        <v>0</v>
      </c>
      <c r="Q88" s="8" t="s">
        <v>1086</v>
      </c>
    </row>
    <row r="89" spans="1:17" x14ac:dyDescent="0.45">
      <c r="A89" s="8">
        <v>61.1</v>
      </c>
      <c r="B89" s="8">
        <v>108515.04</v>
      </c>
      <c r="C89" s="8">
        <v>657</v>
      </c>
      <c r="D89" s="8">
        <v>0</v>
      </c>
      <c r="E89" s="8">
        <v>0</v>
      </c>
      <c r="F89" s="8">
        <v>46</v>
      </c>
      <c r="G89" s="8">
        <v>897.39</v>
      </c>
      <c r="H89" s="8">
        <v>1801.39</v>
      </c>
      <c r="I89" s="8">
        <v>101481.65</v>
      </c>
      <c r="J89" s="8">
        <v>831</v>
      </c>
      <c r="K89" s="8">
        <v>46</v>
      </c>
      <c r="L89" s="8">
        <v>324.14999999999998</v>
      </c>
      <c r="M89" s="8">
        <v>5.3</v>
      </c>
      <c r="N89" s="8">
        <v>5.0999999999999996</v>
      </c>
      <c r="O89" s="8">
        <v>0</v>
      </c>
      <c r="P89" s="8">
        <v>0</v>
      </c>
      <c r="Q89" s="8" t="s">
        <v>1086</v>
      </c>
    </row>
    <row r="90" spans="1:17" x14ac:dyDescent="0.45">
      <c r="A90" s="8">
        <v>23.6</v>
      </c>
      <c r="B90" s="8">
        <v>95136.22</v>
      </c>
      <c r="C90" s="8">
        <v>569</v>
      </c>
      <c r="D90" s="8">
        <v>1</v>
      </c>
      <c r="E90" s="8">
        <v>0</v>
      </c>
      <c r="F90" s="8">
        <v>11</v>
      </c>
      <c r="G90" s="8">
        <v>913.15</v>
      </c>
      <c r="H90" s="8">
        <v>109143.69</v>
      </c>
      <c r="I90" s="8">
        <v>69954.86</v>
      </c>
      <c r="J90" s="8">
        <v>209</v>
      </c>
      <c r="K90" s="8">
        <v>11</v>
      </c>
      <c r="L90" s="8">
        <v>7740.27</v>
      </c>
      <c r="M90" s="8">
        <v>5</v>
      </c>
      <c r="N90" s="8">
        <v>6.4</v>
      </c>
      <c r="O90" s="8">
        <v>0</v>
      </c>
      <c r="P90" s="8">
        <v>0</v>
      </c>
      <c r="Q90" s="8" t="s">
        <v>1086</v>
      </c>
    </row>
    <row r="91" spans="1:17" x14ac:dyDescent="0.45">
      <c r="A91" s="8">
        <v>38.5</v>
      </c>
      <c r="B91" s="8">
        <v>103319.63</v>
      </c>
      <c r="C91" s="8">
        <v>765</v>
      </c>
      <c r="D91" s="8">
        <v>0</v>
      </c>
      <c r="E91" s="8">
        <v>1</v>
      </c>
      <c r="F91" s="8">
        <v>62</v>
      </c>
      <c r="G91" s="8">
        <v>931.41</v>
      </c>
      <c r="H91" s="8">
        <v>35287.83</v>
      </c>
      <c r="I91" s="8">
        <v>63978.96</v>
      </c>
      <c r="J91" s="8">
        <v>1819</v>
      </c>
      <c r="K91" s="8">
        <v>62</v>
      </c>
      <c r="L91" s="8">
        <v>3041.93</v>
      </c>
      <c r="M91" s="8">
        <v>4</v>
      </c>
      <c r="N91" s="8">
        <v>8.5</v>
      </c>
      <c r="O91" s="8">
        <v>0</v>
      </c>
      <c r="P91" s="8">
        <v>0</v>
      </c>
      <c r="Q91" s="8" t="s">
        <v>1086</v>
      </c>
    </row>
    <row r="92" spans="1:17" x14ac:dyDescent="0.45">
      <c r="A92" s="8">
        <v>32.299999999999997</v>
      </c>
      <c r="B92" s="8">
        <v>130806.84</v>
      </c>
      <c r="C92" s="8">
        <v>621</v>
      </c>
      <c r="D92" s="8">
        <v>0</v>
      </c>
      <c r="E92" s="8">
        <v>0</v>
      </c>
      <c r="F92" s="8">
        <v>32</v>
      </c>
      <c r="G92" s="8">
        <v>934.74</v>
      </c>
      <c r="H92" s="8">
        <v>11427.88</v>
      </c>
      <c r="I92" s="8">
        <v>73318.490000000005</v>
      </c>
      <c r="J92" s="8">
        <v>3903</v>
      </c>
      <c r="K92" s="8">
        <v>32</v>
      </c>
      <c r="L92" s="8">
        <v>3590.04</v>
      </c>
      <c r="M92" s="8">
        <v>5.3</v>
      </c>
      <c r="N92" s="8">
        <v>9.1999999999999993</v>
      </c>
      <c r="O92" s="8">
        <v>0</v>
      </c>
      <c r="P92" s="8">
        <v>0</v>
      </c>
      <c r="Q92" s="8" t="s">
        <v>1086</v>
      </c>
    </row>
    <row r="93" spans="1:17" x14ac:dyDescent="0.45">
      <c r="A93" s="8">
        <v>53.7</v>
      </c>
      <c r="B93" s="8">
        <v>133564.01</v>
      </c>
      <c r="C93" s="8">
        <v>582</v>
      </c>
      <c r="D93" s="8">
        <v>0</v>
      </c>
      <c r="E93" s="8">
        <v>1</v>
      </c>
      <c r="F93" s="8">
        <v>248</v>
      </c>
      <c r="G93" s="8">
        <v>943.12</v>
      </c>
      <c r="H93" s="8">
        <v>2555.6</v>
      </c>
      <c r="I93" s="8">
        <v>88392.06</v>
      </c>
      <c r="J93" s="8">
        <v>2432</v>
      </c>
      <c r="K93" s="8">
        <v>248</v>
      </c>
      <c r="L93" s="8">
        <v>6045.26</v>
      </c>
      <c r="M93" s="8">
        <v>4</v>
      </c>
      <c r="N93" s="8">
        <v>0.9</v>
      </c>
      <c r="O93" s="8">
        <v>0</v>
      </c>
      <c r="P93" s="8">
        <v>0</v>
      </c>
      <c r="Q93" s="8" t="s">
        <v>1086</v>
      </c>
    </row>
    <row r="94" spans="1:17" x14ac:dyDescent="0.45">
      <c r="A94" s="8">
        <v>55.4</v>
      </c>
      <c r="B94" s="8">
        <v>131902.29</v>
      </c>
      <c r="C94" s="8">
        <v>728</v>
      </c>
      <c r="D94" s="8">
        <v>1</v>
      </c>
      <c r="E94" s="8">
        <v>1</v>
      </c>
      <c r="F94" s="8">
        <v>241</v>
      </c>
      <c r="G94" s="8">
        <v>947.54</v>
      </c>
      <c r="H94" s="8">
        <v>30455.200000000001</v>
      </c>
      <c r="I94" s="8">
        <v>100472.12</v>
      </c>
      <c r="J94" s="8">
        <v>3521</v>
      </c>
      <c r="K94" s="8">
        <v>241</v>
      </c>
      <c r="L94" s="8">
        <v>1089.69</v>
      </c>
      <c r="M94" s="8">
        <v>1.1000000000000001</v>
      </c>
      <c r="N94" s="8">
        <v>5.7</v>
      </c>
      <c r="O94" s="8">
        <v>0</v>
      </c>
      <c r="P94" s="8">
        <v>0</v>
      </c>
      <c r="Q94" s="8" t="s">
        <v>1086</v>
      </c>
    </row>
    <row r="95" spans="1:17" x14ac:dyDescent="0.45">
      <c r="A95" s="8">
        <v>31.4</v>
      </c>
      <c r="B95" s="8">
        <v>113246.93</v>
      </c>
      <c r="C95" s="8">
        <v>451</v>
      </c>
      <c r="D95" s="8">
        <v>0</v>
      </c>
      <c r="E95" s="8">
        <v>1</v>
      </c>
      <c r="F95" s="8">
        <v>192</v>
      </c>
      <c r="G95" s="8">
        <v>986.59</v>
      </c>
      <c r="H95" s="8">
        <v>1510.32</v>
      </c>
      <c r="I95" s="8">
        <v>76142.45</v>
      </c>
      <c r="J95" s="8">
        <v>1329</v>
      </c>
      <c r="K95" s="8">
        <v>192</v>
      </c>
      <c r="L95" s="8">
        <v>8580.59</v>
      </c>
      <c r="M95" s="8">
        <v>1.9</v>
      </c>
      <c r="N95" s="8">
        <v>1.1000000000000001</v>
      </c>
      <c r="O95" s="8">
        <v>0</v>
      </c>
      <c r="P95" s="8">
        <v>0</v>
      </c>
      <c r="Q95" s="8" t="s">
        <v>1086</v>
      </c>
    </row>
    <row r="96" spans="1:17" x14ac:dyDescent="0.45">
      <c r="A96" s="8">
        <v>49.5</v>
      </c>
      <c r="B96" s="8">
        <v>128936.42</v>
      </c>
      <c r="C96" s="8">
        <v>688</v>
      </c>
      <c r="D96" s="8">
        <v>0</v>
      </c>
      <c r="E96" s="8">
        <v>1</v>
      </c>
      <c r="F96" s="8">
        <v>192</v>
      </c>
      <c r="G96" s="8">
        <v>989.37</v>
      </c>
      <c r="H96" s="8">
        <v>3674</v>
      </c>
      <c r="I96" s="8">
        <v>73374.83</v>
      </c>
      <c r="J96" s="8">
        <v>147</v>
      </c>
      <c r="K96" s="8">
        <v>192</v>
      </c>
      <c r="L96" s="8">
        <v>2388.4699999999998</v>
      </c>
      <c r="M96" s="8">
        <v>1.7</v>
      </c>
      <c r="N96" s="8">
        <v>0.9</v>
      </c>
      <c r="O96" s="8">
        <v>0</v>
      </c>
      <c r="P96" s="8">
        <v>0</v>
      </c>
      <c r="Q96" s="8" t="s">
        <v>1086</v>
      </c>
    </row>
    <row r="97" spans="1:17" x14ac:dyDescent="0.45">
      <c r="A97" s="8">
        <v>48.8</v>
      </c>
      <c r="B97" s="8">
        <v>50475.58</v>
      </c>
      <c r="C97" s="8">
        <v>606</v>
      </c>
      <c r="D97" s="8">
        <v>0</v>
      </c>
      <c r="E97" s="8">
        <v>1</v>
      </c>
      <c r="F97" s="8">
        <v>181</v>
      </c>
      <c r="G97" s="8">
        <v>1022.84</v>
      </c>
      <c r="H97" s="8">
        <v>10308.040000000001</v>
      </c>
      <c r="I97" s="8">
        <v>50475.58</v>
      </c>
      <c r="J97" s="8">
        <v>3946</v>
      </c>
      <c r="K97" s="8">
        <v>181</v>
      </c>
      <c r="L97" s="8">
        <v>6812.36</v>
      </c>
      <c r="M97" s="8">
        <v>3.9</v>
      </c>
      <c r="N97" s="8">
        <v>7.6</v>
      </c>
      <c r="O97" s="8">
        <v>0</v>
      </c>
      <c r="P97" s="8">
        <v>0</v>
      </c>
      <c r="Q97" s="8" t="s">
        <v>1086</v>
      </c>
    </row>
    <row r="98" spans="1:17" x14ac:dyDescent="0.45">
      <c r="A98" s="8">
        <v>80.900000000000006</v>
      </c>
      <c r="B98" s="8">
        <v>128481.39</v>
      </c>
      <c r="C98" s="8">
        <v>738</v>
      </c>
      <c r="D98" s="8">
        <v>1</v>
      </c>
      <c r="E98" s="8">
        <v>1</v>
      </c>
      <c r="F98" s="8">
        <v>173</v>
      </c>
      <c r="G98" s="8">
        <v>1029.2</v>
      </c>
      <c r="H98" s="8">
        <v>34324.129999999997</v>
      </c>
      <c r="I98" s="8">
        <v>99913.35</v>
      </c>
      <c r="J98" s="8">
        <v>1287</v>
      </c>
      <c r="K98" s="8">
        <v>173</v>
      </c>
      <c r="L98" s="8">
        <v>8059.87</v>
      </c>
      <c r="M98" s="8">
        <v>6.5</v>
      </c>
      <c r="N98" s="8">
        <v>3</v>
      </c>
      <c r="O98" s="8">
        <v>0</v>
      </c>
      <c r="P98" s="8">
        <v>0</v>
      </c>
      <c r="Q98" s="8" t="s">
        <v>1086</v>
      </c>
    </row>
    <row r="99" spans="1:17" x14ac:dyDescent="0.45">
      <c r="A99" s="8">
        <v>71</v>
      </c>
      <c r="B99" s="8">
        <v>134260.53</v>
      </c>
      <c r="C99" s="8">
        <v>689</v>
      </c>
      <c r="D99" s="8">
        <v>1</v>
      </c>
      <c r="E99" s="8">
        <v>1</v>
      </c>
      <c r="F99" s="8">
        <v>234</v>
      </c>
      <c r="G99" s="8">
        <v>1042.8699999999999</v>
      </c>
      <c r="H99" s="8">
        <v>1597.28</v>
      </c>
      <c r="I99" s="8">
        <v>60024.11</v>
      </c>
      <c r="J99" s="8">
        <v>479</v>
      </c>
      <c r="K99" s="8">
        <v>234</v>
      </c>
      <c r="L99" s="8">
        <v>147.19</v>
      </c>
      <c r="M99" s="8">
        <v>2</v>
      </c>
      <c r="N99" s="8">
        <v>3.4</v>
      </c>
      <c r="O99" s="8">
        <v>0</v>
      </c>
      <c r="P99" s="8">
        <v>0</v>
      </c>
      <c r="Q99" s="8" t="s">
        <v>1086</v>
      </c>
    </row>
    <row r="100" spans="1:17" x14ac:dyDescent="0.45">
      <c r="A100" s="8">
        <v>54.2</v>
      </c>
      <c r="B100" s="8">
        <v>100168.54</v>
      </c>
      <c r="C100" s="8">
        <v>554</v>
      </c>
      <c r="D100" s="8">
        <v>0</v>
      </c>
      <c r="E100" s="8">
        <v>0</v>
      </c>
      <c r="F100" s="8">
        <v>80</v>
      </c>
      <c r="G100" s="8">
        <v>1043.31</v>
      </c>
      <c r="H100" s="8">
        <v>113250.75</v>
      </c>
      <c r="I100" s="8">
        <v>65251.23</v>
      </c>
      <c r="J100" s="8">
        <v>3376</v>
      </c>
      <c r="K100" s="8">
        <v>80</v>
      </c>
      <c r="L100" s="8">
        <v>2700.9</v>
      </c>
      <c r="M100" s="8">
        <v>5.8</v>
      </c>
      <c r="N100" s="8">
        <v>5.2</v>
      </c>
      <c r="O100" s="8">
        <v>0</v>
      </c>
      <c r="P100" s="8">
        <v>0</v>
      </c>
      <c r="Q100" s="8" t="s">
        <v>1086</v>
      </c>
    </row>
    <row r="101" spans="1:17" x14ac:dyDescent="0.45">
      <c r="A101" s="8">
        <v>23.6</v>
      </c>
      <c r="B101" s="8">
        <v>85265.72</v>
      </c>
      <c r="C101" s="8">
        <v>726</v>
      </c>
      <c r="D101" s="8">
        <v>0</v>
      </c>
      <c r="E101" s="8">
        <v>1</v>
      </c>
      <c r="F101" s="8">
        <v>156</v>
      </c>
      <c r="G101" s="8">
        <v>1058.46</v>
      </c>
      <c r="H101" s="8">
        <v>46538.23</v>
      </c>
      <c r="I101" s="8">
        <v>57881.03</v>
      </c>
      <c r="J101" s="8">
        <v>3817</v>
      </c>
      <c r="K101" s="8">
        <v>156</v>
      </c>
      <c r="L101" s="8">
        <v>5130.92</v>
      </c>
      <c r="M101" s="8">
        <v>4.7</v>
      </c>
      <c r="N101" s="8">
        <v>5.6</v>
      </c>
      <c r="O101" s="8">
        <v>0</v>
      </c>
      <c r="P101" s="8">
        <v>0</v>
      </c>
      <c r="Q101" s="8" t="s">
        <v>1086</v>
      </c>
    </row>
    <row r="102" spans="1:17" x14ac:dyDescent="0.45">
      <c r="A102" s="8">
        <v>39.799999999999997</v>
      </c>
      <c r="B102" s="8">
        <v>112485.57</v>
      </c>
      <c r="C102" s="8">
        <v>623</v>
      </c>
      <c r="D102" s="8">
        <v>0</v>
      </c>
      <c r="E102" s="8">
        <v>0</v>
      </c>
      <c r="F102" s="8">
        <v>88</v>
      </c>
      <c r="G102" s="8">
        <v>1059.0899999999999</v>
      </c>
      <c r="H102" s="8">
        <v>41478.31</v>
      </c>
      <c r="I102" s="8">
        <v>67848.320000000007</v>
      </c>
      <c r="J102" s="8">
        <v>977</v>
      </c>
      <c r="K102" s="8">
        <v>88</v>
      </c>
      <c r="L102" s="8">
        <v>7498.5</v>
      </c>
      <c r="M102" s="8">
        <v>6.1</v>
      </c>
      <c r="N102" s="8">
        <v>10.3</v>
      </c>
      <c r="O102" s="8">
        <v>0</v>
      </c>
      <c r="P102" s="8">
        <v>0</v>
      </c>
      <c r="Q102" s="8" t="s">
        <v>1086</v>
      </c>
    </row>
    <row r="103" spans="1:17" x14ac:dyDescent="0.45">
      <c r="A103" s="8">
        <v>63.7</v>
      </c>
      <c r="B103" s="8">
        <v>117965.81</v>
      </c>
      <c r="C103" s="8">
        <v>497</v>
      </c>
      <c r="D103" s="8">
        <v>0</v>
      </c>
      <c r="E103" s="8">
        <v>0</v>
      </c>
      <c r="F103" s="8">
        <v>118</v>
      </c>
      <c r="G103" s="8">
        <v>1074.43</v>
      </c>
      <c r="H103" s="8">
        <v>14336.81</v>
      </c>
      <c r="I103" s="8">
        <v>71871.13</v>
      </c>
      <c r="J103" s="8">
        <v>4656</v>
      </c>
      <c r="K103" s="8">
        <v>118</v>
      </c>
      <c r="L103" s="8">
        <v>4377.3500000000004</v>
      </c>
      <c r="M103" s="8">
        <v>3.8</v>
      </c>
      <c r="N103" s="8">
        <v>6</v>
      </c>
      <c r="O103" s="8">
        <v>0</v>
      </c>
      <c r="P103" s="8">
        <v>0</v>
      </c>
      <c r="Q103" s="8" t="s">
        <v>1086</v>
      </c>
    </row>
    <row r="104" spans="1:17" x14ac:dyDescent="0.45">
      <c r="A104" s="8">
        <v>39.799999999999997</v>
      </c>
      <c r="B104" s="8">
        <v>93102.7</v>
      </c>
      <c r="C104" s="8">
        <v>602</v>
      </c>
      <c r="D104" s="8">
        <v>1</v>
      </c>
      <c r="E104" s="8">
        <v>1</v>
      </c>
      <c r="F104" s="8">
        <v>270</v>
      </c>
      <c r="G104" s="8">
        <v>1080.45</v>
      </c>
      <c r="H104" s="8">
        <v>11688.63</v>
      </c>
      <c r="I104" s="8">
        <v>65074.79</v>
      </c>
      <c r="J104" s="8">
        <v>4557</v>
      </c>
      <c r="K104" s="8">
        <v>270</v>
      </c>
      <c r="L104" s="8">
        <v>2922.97</v>
      </c>
      <c r="M104" s="8">
        <v>5</v>
      </c>
      <c r="N104" s="8">
        <v>6.2</v>
      </c>
      <c r="O104" s="8">
        <v>0</v>
      </c>
      <c r="P104" s="8">
        <v>0</v>
      </c>
      <c r="Q104" s="8" t="s">
        <v>1086</v>
      </c>
    </row>
    <row r="105" spans="1:17" x14ac:dyDescent="0.45">
      <c r="A105" s="8">
        <v>50.7</v>
      </c>
      <c r="B105" s="8">
        <v>74415.39</v>
      </c>
      <c r="C105" s="8">
        <v>634</v>
      </c>
      <c r="D105" s="8">
        <v>1</v>
      </c>
      <c r="E105" s="8">
        <v>1</v>
      </c>
      <c r="F105" s="8">
        <v>287</v>
      </c>
      <c r="G105" s="8">
        <v>1082.51</v>
      </c>
      <c r="H105" s="8">
        <v>39561.519999999997</v>
      </c>
      <c r="I105" s="8">
        <v>55428</v>
      </c>
      <c r="J105" s="8">
        <v>4051</v>
      </c>
      <c r="K105" s="8">
        <v>287</v>
      </c>
      <c r="L105" s="8">
        <v>6617.86</v>
      </c>
      <c r="M105" s="8">
        <v>5.0999999999999996</v>
      </c>
      <c r="N105" s="8">
        <v>7.2</v>
      </c>
      <c r="O105" s="8">
        <v>0</v>
      </c>
      <c r="P105" s="8">
        <v>0</v>
      </c>
      <c r="Q105" s="8" t="s">
        <v>1086</v>
      </c>
    </row>
    <row r="106" spans="1:17" x14ac:dyDescent="0.45">
      <c r="A106" s="8">
        <v>61.2</v>
      </c>
      <c r="B106" s="8">
        <v>68559.87</v>
      </c>
      <c r="C106" s="8">
        <v>554</v>
      </c>
      <c r="D106" s="8">
        <v>0</v>
      </c>
      <c r="E106" s="8">
        <v>0</v>
      </c>
      <c r="F106" s="8">
        <v>171</v>
      </c>
      <c r="G106" s="8">
        <v>1085.78</v>
      </c>
      <c r="H106" s="8">
        <v>17116.169999999998</v>
      </c>
      <c r="I106" s="8">
        <v>31520.86</v>
      </c>
      <c r="J106" s="8">
        <v>431</v>
      </c>
      <c r="K106" s="8">
        <v>171</v>
      </c>
      <c r="L106" s="8">
        <v>6289.15</v>
      </c>
      <c r="M106" s="8">
        <v>0.6</v>
      </c>
      <c r="N106" s="8">
        <v>10.6</v>
      </c>
      <c r="O106" s="8">
        <v>0</v>
      </c>
      <c r="P106" s="8">
        <v>0</v>
      </c>
      <c r="Q106" s="8" t="s">
        <v>1086</v>
      </c>
    </row>
    <row r="107" spans="1:17" x14ac:dyDescent="0.45">
      <c r="A107" s="8">
        <v>39.200000000000003</v>
      </c>
      <c r="B107" s="8">
        <v>124155.79</v>
      </c>
      <c r="C107" s="8">
        <v>729</v>
      </c>
      <c r="D107" s="8">
        <v>0</v>
      </c>
      <c r="E107" s="8">
        <v>0</v>
      </c>
      <c r="F107" s="8">
        <v>124</v>
      </c>
      <c r="G107" s="8">
        <v>1131.5</v>
      </c>
      <c r="H107" s="8">
        <v>20654.05</v>
      </c>
      <c r="I107" s="8">
        <v>99166.95</v>
      </c>
      <c r="J107" s="8">
        <v>379</v>
      </c>
      <c r="K107" s="8">
        <v>124</v>
      </c>
      <c r="L107" s="8">
        <v>1754.36</v>
      </c>
      <c r="M107" s="8">
        <v>4.2</v>
      </c>
      <c r="N107" s="8">
        <v>5</v>
      </c>
      <c r="O107" s="8">
        <v>0</v>
      </c>
      <c r="P107" s="8">
        <v>0</v>
      </c>
      <c r="Q107" s="8" t="s">
        <v>1086</v>
      </c>
    </row>
    <row r="108" spans="1:17" x14ac:dyDescent="0.45">
      <c r="A108" s="8">
        <v>45.5</v>
      </c>
      <c r="B108" s="8">
        <v>106851.32</v>
      </c>
      <c r="C108" s="8">
        <v>601</v>
      </c>
      <c r="D108" s="8">
        <v>1</v>
      </c>
      <c r="E108" s="8">
        <v>1</v>
      </c>
      <c r="F108" s="8">
        <v>56</v>
      </c>
      <c r="G108" s="8">
        <v>1169.28</v>
      </c>
      <c r="H108" s="8">
        <v>21963.57</v>
      </c>
      <c r="I108" s="8">
        <v>65711.08</v>
      </c>
      <c r="J108" s="8">
        <v>2586</v>
      </c>
      <c r="K108" s="8">
        <v>56</v>
      </c>
      <c r="L108" s="8">
        <v>5608.39</v>
      </c>
      <c r="M108" s="8">
        <v>2.1</v>
      </c>
      <c r="N108" s="8">
        <v>1</v>
      </c>
      <c r="O108" s="8">
        <v>0</v>
      </c>
      <c r="P108" s="8">
        <v>0</v>
      </c>
      <c r="Q108" s="8" t="s">
        <v>1086</v>
      </c>
    </row>
    <row r="109" spans="1:17" x14ac:dyDescent="0.45">
      <c r="A109" s="8">
        <v>49.5</v>
      </c>
      <c r="B109" s="8">
        <v>38585.72</v>
      </c>
      <c r="C109" s="8">
        <v>725</v>
      </c>
      <c r="D109" s="8">
        <v>1</v>
      </c>
      <c r="E109" s="8">
        <v>1</v>
      </c>
      <c r="F109" s="8">
        <v>235</v>
      </c>
      <c r="G109" s="8">
        <v>1215.3900000000001</v>
      </c>
      <c r="H109" s="8">
        <v>1228.72</v>
      </c>
      <c r="I109" s="8">
        <v>17286.52</v>
      </c>
      <c r="J109" s="8">
        <v>2785</v>
      </c>
      <c r="K109" s="8">
        <v>235</v>
      </c>
      <c r="L109" s="8">
        <v>8976.65</v>
      </c>
      <c r="M109" s="8">
        <v>3.1</v>
      </c>
      <c r="N109" s="8">
        <v>4</v>
      </c>
      <c r="O109" s="8">
        <v>0</v>
      </c>
      <c r="P109" s="8">
        <v>0</v>
      </c>
      <c r="Q109" s="8" t="s">
        <v>1086</v>
      </c>
    </row>
    <row r="110" spans="1:17" x14ac:dyDescent="0.45">
      <c r="A110" s="8">
        <v>54.6</v>
      </c>
      <c r="B110" s="8">
        <v>78320.41</v>
      </c>
      <c r="C110" s="8">
        <v>692</v>
      </c>
      <c r="D110" s="8">
        <v>0</v>
      </c>
      <c r="E110" s="8">
        <v>0</v>
      </c>
      <c r="F110" s="8">
        <v>176</v>
      </c>
      <c r="G110" s="8">
        <v>1224.1099999999999</v>
      </c>
      <c r="H110" s="8">
        <v>67416.649999999994</v>
      </c>
      <c r="I110" s="8">
        <v>52851.09</v>
      </c>
      <c r="J110" s="8">
        <v>1409</v>
      </c>
      <c r="K110" s="8">
        <v>176</v>
      </c>
      <c r="L110" s="8">
        <v>385.15</v>
      </c>
      <c r="M110" s="8">
        <v>4.5</v>
      </c>
      <c r="N110" s="8">
        <v>4.0999999999999996</v>
      </c>
      <c r="O110" s="8">
        <v>0</v>
      </c>
      <c r="P110" s="8">
        <v>0</v>
      </c>
      <c r="Q110" s="8" t="s">
        <v>1086</v>
      </c>
    </row>
    <row r="111" spans="1:17" x14ac:dyDescent="0.45">
      <c r="A111" s="8">
        <v>20.7</v>
      </c>
      <c r="B111" s="8">
        <v>108711.63</v>
      </c>
      <c r="C111" s="8">
        <v>617</v>
      </c>
      <c r="D111" s="8">
        <v>0</v>
      </c>
      <c r="E111" s="8">
        <v>1</v>
      </c>
      <c r="F111" s="8">
        <v>59</v>
      </c>
      <c r="G111" s="8">
        <v>1234.8699999999999</v>
      </c>
      <c r="H111" s="8">
        <v>28379.69</v>
      </c>
      <c r="I111" s="8">
        <v>69327.17</v>
      </c>
      <c r="J111" s="8">
        <v>3152</v>
      </c>
      <c r="K111" s="8">
        <v>59</v>
      </c>
      <c r="L111" s="8">
        <v>6695.14</v>
      </c>
      <c r="M111" s="8">
        <v>1.5</v>
      </c>
      <c r="N111" s="8">
        <v>6.5</v>
      </c>
      <c r="O111" s="8">
        <v>0</v>
      </c>
      <c r="P111" s="8">
        <v>0</v>
      </c>
      <c r="Q111" s="8" t="s">
        <v>1086</v>
      </c>
    </row>
    <row r="112" spans="1:17" x14ac:dyDescent="0.45">
      <c r="A112" s="8">
        <v>39.5</v>
      </c>
      <c r="B112" s="8">
        <v>71590.25</v>
      </c>
      <c r="C112" s="8">
        <v>627</v>
      </c>
      <c r="D112" s="8">
        <v>0</v>
      </c>
      <c r="E112" s="8">
        <v>0</v>
      </c>
      <c r="F112" s="8">
        <v>297</v>
      </c>
      <c r="G112" s="8">
        <v>1246.53</v>
      </c>
      <c r="H112" s="8">
        <v>8348.06</v>
      </c>
      <c r="I112" s="8">
        <v>50423.25</v>
      </c>
      <c r="J112" s="8">
        <v>1643</v>
      </c>
      <c r="K112" s="8">
        <v>297</v>
      </c>
      <c r="L112" s="8">
        <v>8505.27</v>
      </c>
      <c r="M112" s="8">
        <v>3.1</v>
      </c>
      <c r="N112" s="8">
        <v>4.9000000000000004</v>
      </c>
      <c r="O112" s="8">
        <v>0</v>
      </c>
      <c r="P112" s="8">
        <v>0</v>
      </c>
      <c r="Q112" s="8" t="s">
        <v>1086</v>
      </c>
    </row>
    <row r="113" spans="1:17" x14ac:dyDescent="0.45">
      <c r="A113" s="8">
        <v>62.9</v>
      </c>
      <c r="B113" s="8">
        <v>85258.39</v>
      </c>
      <c r="C113" s="8">
        <v>731</v>
      </c>
      <c r="D113" s="8">
        <v>0</v>
      </c>
      <c r="E113" s="8">
        <v>1</v>
      </c>
      <c r="F113" s="8">
        <v>263</v>
      </c>
      <c r="G113" s="8">
        <v>1256.1199999999999</v>
      </c>
      <c r="H113" s="8">
        <v>58282.94</v>
      </c>
      <c r="I113" s="8">
        <v>60285.46</v>
      </c>
      <c r="J113" s="8">
        <v>4700</v>
      </c>
      <c r="K113" s="8">
        <v>263</v>
      </c>
      <c r="L113" s="8">
        <v>193.53</v>
      </c>
      <c r="M113" s="8">
        <v>1.1000000000000001</v>
      </c>
      <c r="N113" s="8">
        <v>5.0999999999999996</v>
      </c>
      <c r="O113" s="8">
        <v>0</v>
      </c>
      <c r="P113" s="8">
        <v>0</v>
      </c>
      <c r="Q113" s="8" t="s">
        <v>1086</v>
      </c>
    </row>
    <row r="114" spans="1:17" x14ac:dyDescent="0.45">
      <c r="A114" s="8">
        <v>43.4</v>
      </c>
      <c r="B114" s="8">
        <v>98079.61</v>
      </c>
      <c r="C114" s="8">
        <v>417</v>
      </c>
      <c r="D114" s="8">
        <v>0</v>
      </c>
      <c r="E114" s="8">
        <v>0</v>
      </c>
      <c r="F114" s="8">
        <v>68</v>
      </c>
      <c r="G114" s="8">
        <v>1276.95</v>
      </c>
      <c r="H114" s="8">
        <v>21755.06</v>
      </c>
      <c r="I114" s="8">
        <v>60417.73</v>
      </c>
      <c r="J114" s="8">
        <v>4201</v>
      </c>
      <c r="K114" s="8">
        <v>68</v>
      </c>
      <c r="L114" s="8">
        <v>7080.76</v>
      </c>
      <c r="M114" s="8">
        <v>4.3</v>
      </c>
      <c r="N114" s="8">
        <v>3.6</v>
      </c>
      <c r="O114" s="8">
        <v>0</v>
      </c>
      <c r="P114" s="8">
        <v>0</v>
      </c>
      <c r="Q114" s="8" t="s">
        <v>1086</v>
      </c>
    </row>
    <row r="115" spans="1:17" x14ac:dyDescent="0.45">
      <c r="A115" s="8">
        <v>53.9</v>
      </c>
      <c r="B115" s="8">
        <v>88198.31</v>
      </c>
      <c r="C115" s="8">
        <v>752</v>
      </c>
      <c r="D115" s="8">
        <v>1</v>
      </c>
      <c r="E115" s="8">
        <v>1</v>
      </c>
      <c r="F115" s="8">
        <v>226</v>
      </c>
      <c r="G115" s="8">
        <v>1330.62</v>
      </c>
      <c r="H115" s="8">
        <v>16323.19</v>
      </c>
      <c r="I115" s="8">
        <v>32407.64</v>
      </c>
      <c r="J115" s="8">
        <v>2162</v>
      </c>
      <c r="K115" s="8">
        <v>226</v>
      </c>
      <c r="L115" s="8">
        <v>1105.27</v>
      </c>
      <c r="M115" s="8">
        <v>3.9</v>
      </c>
      <c r="N115" s="8">
        <v>7.5</v>
      </c>
      <c r="O115" s="8">
        <v>0</v>
      </c>
      <c r="P115" s="8">
        <v>0</v>
      </c>
      <c r="Q115" s="8" t="s">
        <v>1086</v>
      </c>
    </row>
    <row r="116" spans="1:17" x14ac:dyDescent="0.45">
      <c r="A116" s="8">
        <v>52.8</v>
      </c>
      <c r="B116" s="8">
        <v>86021.16</v>
      </c>
      <c r="C116" s="8">
        <v>654</v>
      </c>
      <c r="D116" s="8">
        <v>1</v>
      </c>
      <c r="E116" s="8">
        <v>1</v>
      </c>
      <c r="F116" s="8">
        <v>42</v>
      </c>
      <c r="G116" s="8">
        <v>1342.58</v>
      </c>
      <c r="H116" s="8">
        <v>24715.38</v>
      </c>
      <c r="I116" s="8">
        <v>68085.899999999994</v>
      </c>
      <c r="J116" s="8">
        <v>4868</v>
      </c>
      <c r="K116" s="8">
        <v>42</v>
      </c>
      <c r="L116" s="8">
        <v>9910.65</v>
      </c>
      <c r="M116" s="8">
        <v>1</v>
      </c>
      <c r="N116" s="8">
        <v>5.6</v>
      </c>
      <c r="O116" s="8">
        <v>0</v>
      </c>
      <c r="P116" s="8">
        <v>0</v>
      </c>
      <c r="Q116" s="8" t="s">
        <v>1086</v>
      </c>
    </row>
    <row r="117" spans="1:17" x14ac:dyDescent="0.45">
      <c r="A117" s="8">
        <v>47.6</v>
      </c>
      <c r="B117" s="8">
        <v>77551.19</v>
      </c>
      <c r="C117" s="8">
        <v>560</v>
      </c>
      <c r="D117" s="8">
        <v>1</v>
      </c>
      <c r="E117" s="8">
        <v>1</v>
      </c>
      <c r="F117" s="8">
        <v>239</v>
      </c>
      <c r="G117" s="8">
        <v>1355.99</v>
      </c>
      <c r="H117" s="8">
        <v>20745.009999999998</v>
      </c>
      <c r="I117" s="8">
        <v>47170.37</v>
      </c>
      <c r="J117" s="8">
        <v>4063</v>
      </c>
      <c r="K117" s="8">
        <v>239</v>
      </c>
      <c r="L117" s="8">
        <v>8066.89</v>
      </c>
      <c r="M117" s="8">
        <v>1.8</v>
      </c>
      <c r="N117" s="8">
        <v>2.4</v>
      </c>
      <c r="O117" s="8">
        <v>0</v>
      </c>
      <c r="P117" s="8">
        <v>0</v>
      </c>
      <c r="Q117" s="8" t="s">
        <v>1086</v>
      </c>
    </row>
    <row r="118" spans="1:17" x14ac:dyDescent="0.45">
      <c r="A118" s="8">
        <v>28.5</v>
      </c>
      <c r="B118" s="8">
        <v>146018.66</v>
      </c>
      <c r="C118" s="8">
        <v>620</v>
      </c>
      <c r="D118" s="8">
        <v>1</v>
      </c>
      <c r="E118" s="8">
        <v>1</v>
      </c>
      <c r="F118" s="8">
        <v>232</v>
      </c>
      <c r="G118" s="8">
        <v>1358.42</v>
      </c>
      <c r="H118" s="8">
        <v>16629.37</v>
      </c>
      <c r="I118" s="8">
        <v>93229.4</v>
      </c>
      <c r="J118" s="8">
        <v>2946</v>
      </c>
      <c r="K118" s="8">
        <v>232</v>
      </c>
      <c r="L118" s="8">
        <v>761.27</v>
      </c>
      <c r="M118" s="8">
        <v>0.5</v>
      </c>
      <c r="N118" s="8">
        <v>8.6</v>
      </c>
      <c r="O118" s="8">
        <v>0</v>
      </c>
      <c r="P118" s="8">
        <v>0</v>
      </c>
      <c r="Q118" s="8" t="s">
        <v>1086</v>
      </c>
    </row>
    <row r="119" spans="1:17" x14ac:dyDescent="0.45">
      <c r="A119" s="8">
        <v>54.9</v>
      </c>
      <c r="B119" s="8">
        <v>134579.22</v>
      </c>
      <c r="C119" s="8">
        <v>668</v>
      </c>
      <c r="D119" s="8">
        <v>0</v>
      </c>
      <c r="E119" s="8">
        <v>1</v>
      </c>
      <c r="F119" s="8">
        <v>278</v>
      </c>
      <c r="G119" s="8">
        <v>1358.61</v>
      </c>
      <c r="H119" s="8">
        <v>37432.19</v>
      </c>
      <c r="I119" s="8">
        <v>74395.16</v>
      </c>
      <c r="J119" s="8">
        <v>4514</v>
      </c>
      <c r="K119" s="8">
        <v>278</v>
      </c>
      <c r="L119" s="8">
        <v>1459.6</v>
      </c>
      <c r="M119" s="8">
        <v>2</v>
      </c>
      <c r="N119" s="8">
        <v>7.5</v>
      </c>
      <c r="O119" s="8">
        <v>0</v>
      </c>
      <c r="P119" s="8">
        <v>0</v>
      </c>
      <c r="Q119" s="8" t="s">
        <v>1086</v>
      </c>
    </row>
    <row r="120" spans="1:17" x14ac:dyDescent="0.45">
      <c r="A120" s="8">
        <v>46.3</v>
      </c>
      <c r="B120" s="8">
        <v>100925.46</v>
      </c>
      <c r="C120" s="8">
        <v>693</v>
      </c>
      <c r="D120" s="8">
        <v>1</v>
      </c>
      <c r="E120" s="8">
        <v>0</v>
      </c>
      <c r="F120" s="8">
        <v>128</v>
      </c>
      <c r="G120" s="8">
        <v>1372.4</v>
      </c>
      <c r="H120" s="8">
        <v>10859.05</v>
      </c>
      <c r="I120" s="8">
        <v>72134.460000000006</v>
      </c>
      <c r="J120" s="8">
        <v>1830</v>
      </c>
      <c r="K120" s="8">
        <v>128</v>
      </c>
      <c r="L120" s="8">
        <v>4721.37</v>
      </c>
      <c r="M120" s="8">
        <v>6.5</v>
      </c>
      <c r="N120" s="8">
        <v>2.1</v>
      </c>
      <c r="O120" s="8">
        <v>0</v>
      </c>
      <c r="P120" s="8">
        <v>0</v>
      </c>
      <c r="Q120" s="8" t="s">
        <v>1086</v>
      </c>
    </row>
    <row r="121" spans="1:17" x14ac:dyDescent="0.45">
      <c r="A121" s="8">
        <v>77.8</v>
      </c>
      <c r="B121" s="8">
        <v>83218.95</v>
      </c>
      <c r="C121" s="8">
        <v>798</v>
      </c>
      <c r="D121" s="8">
        <v>0</v>
      </c>
      <c r="E121" s="8">
        <v>1</v>
      </c>
      <c r="F121" s="8">
        <v>110</v>
      </c>
      <c r="G121" s="8">
        <v>1373.31</v>
      </c>
      <c r="H121" s="8">
        <v>14525.12</v>
      </c>
      <c r="I121" s="8">
        <v>49146.52</v>
      </c>
      <c r="J121" s="8">
        <v>998</v>
      </c>
      <c r="K121" s="8">
        <v>110</v>
      </c>
      <c r="L121" s="8">
        <v>1110.6199999999999</v>
      </c>
      <c r="M121" s="8">
        <v>2.4</v>
      </c>
      <c r="N121" s="8">
        <v>7.8</v>
      </c>
      <c r="O121" s="8">
        <v>0</v>
      </c>
      <c r="P121" s="8">
        <v>0</v>
      </c>
      <c r="Q121" s="8" t="s">
        <v>1086</v>
      </c>
    </row>
    <row r="122" spans="1:17" x14ac:dyDescent="0.45">
      <c r="A122" s="8">
        <v>35.9</v>
      </c>
      <c r="B122" s="8">
        <v>118096.48</v>
      </c>
      <c r="C122" s="8">
        <v>661</v>
      </c>
      <c r="D122" s="8">
        <v>1</v>
      </c>
      <c r="E122" s="8">
        <v>0</v>
      </c>
      <c r="F122" s="8">
        <v>85</v>
      </c>
      <c r="G122" s="8">
        <v>1382.17</v>
      </c>
      <c r="H122" s="8">
        <v>31816.6</v>
      </c>
      <c r="I122" s="8">
        <v>89049.35</v>
      </c>
      <c r="J122" s="8">
        <v>987</v>
      </c>
      <c r="K122" s="8">
        <v>85</v>
      </c>
      <c r="L122" s="8">
        <v>1263.99</v>
      </c>
      <c r="M122" s="8">
        <v>4.5999999999999996</v>
      </c>
      <c r="N122" s="8">
        <v>6.9</v>
      </c>
      <c r="O122" s="8">
        <v>0</v>
      </c>
      <c r="P122" s="8">
        <v>0</v>
      </c>
      <c r="Q122" s="8" t="s">
        <v>1086</v>
      </c>
    </row>
    <row r="123" spans="1:17" x14ac:dyDescent="0.45">
      <c r="A123" s="8">
        <v>54.7</v>
      </c>
      <c r="B123" s="8">
        <v>70204.740000000005</v>
      </c>
      <c r="C123" s="8">
        <v>515</v>
      </c>
      <c r="D123" s="8">
        <v>0</v>
      </c>
      <c r="E123" s="8">
        <v>1</v>
      </c>
      <c r="F123" s="8">
        <v>272</v>
      </c>
      <c r="G123" s="8">
        <v>1389.8</v>
      </c>
      <c r="H123" s="8">
        <v>96908.28</v>
      </c>
      <c r="I123" s="8">
        <v>32946.589999999997</v>
      </c>
      <c r="J123" s="8">
        <v>4207</v>
      </c>
      <c r="K123" s="8">
        <v>272</v>
      </c>
      <c r="L123" s="8">
        <v>3867.7</v>
      </c>
      <c r="M123" s="8">
        <v>4</v>
      </c>
      <c r="N123" s="8">
        <v>7.2</v>
      </c>
      <c r="O123" s="8">
        <v>0</v>
      </c>
      <c r="P123" s="8">
        <v>0</v>
      </c>
      <c r="Q123" s="8" t="s">
        <v>1086</v>
      </c>
    </row>
    <row r="124" spans="1:17" x14ac:dyDescent="0.45">
      <c r="A124" s="8">
        <v>61.6</v>
      </c>
      <c r="B124" s="8">
        <v>85097.73</v>
      </c>
      <c r="C124" s="8">
        <v>602</v>
      </c>
      <c r="D124" s="8">
        <v>0</v>
      </c>
      <c r="E124" s="8">
        <v>0</v>
      </c>
      <c r="F124" s="8">
        <v>21</v>
      </c>
      <c r="G124" s="8">
        <v>1411.01</v>
      </c>
      <c r="H124" s="8">
        <v>20960.98</v>
      </c>
      <c r="I124" s="8">
        <v>64879.06</v>
      </c>
      <c r="J124" s="8">
        <v>4258</v>
      </c>
      <c r="K124" s="8">
        <v>21</v>
      </c>
      <c r="L124" s="8">
        <v>4946.63</v>
      </c>
      <c r="M124" s="8">
        <v>2.1</v>
      </c>
      <c r="N124" s="8">
        <v>5.4</v>
      </c>
      <c r="O124" s="8">
        <v>0</v>
      </c>
      <c r="P124" s="8">
        <v>0</v>
      </c>
      <c r="Q124" s="8" t="s">
        <v>1086</v>
      </c>
    </row>
    <row r="125" spans="1:17" x14ac:dyDescent="0.45">
      <c r="A125" s="8">
        <v>55.1</v>
      </c>
      <c r="B125" s="8">
        <v>93865.64</v>
      </c>
      <c r="C125" s="8">
        <v>633</v>
      </c>
      <c r="D125" s="8">
        <v>0</v>
      </c>
      <c r="E125" s="8">
        <v>1</v>
      </c>
      <c r="F125" s="8">
        <v>16</v>
      </c>
      <c r="G125" s="8">
        <v>1434.63</v>
      </c>
      <c r="H125" s="8">
        <v>10477.48</v>
      </c>
      <c r="I125" s="8">
        <v>66953.53</v>
      </c>
      <c r="J125" s="8">
        <v>3436</v>
      </c>
      <c r="K125" s="8">
        <v>16</v>
      </c>
      <c r="L125" s="8">
        <v>8431.94</v>
      </c>
      <c r="M125" s="8">
        <v>6.4</v>
      </c>
      <c r="N125" s="8">
        <v>6.1</v>
      </c>
      <c r="O125" s="8">
        <v>0</v>
      </c>
      <c r="P125" s="8">
        <v>0</v>
      </c>
      <c r="Q125" s="8" t="s">
        <v>1086</v>
      </c>
    </row>
    <row r="126" spans="1:17" x14ac:dyDescent="0.45">
      <c r="A126" s="8">
        <v>54.8</v>
      </c>
      <c r="B126" s="8">
        <v>130181.53</v>
      </c>
      <c r="C126" s="8">
        <v>517</v>
      </c>
      <c r="D126" s="8">
        <v>1</v>
      </c>
      <c r="E126" s="8">
        <v>0</v>
      </c>
      <c r="F126" s="8">
        <v>197</v>
      </c>
      <c r="G126" s="8">
        <v>1435.95</v>
      </c>
      <c r="H126" s="8">
        <v>22646.89</v>
      </c>
      <c r="I126" s="8">
        <v>99528.81</v>
      </c>
      <c r="J126" s="8">
        <v>1725</v>
      </c>
      <c r="K126" s="8">
        <v>197</v>
      </c>
      <c r="L126" s="8">
        <v>3104.19</v>
      </c>
      <c r="M126" s="8">
        <v>8.4</v>
      </c>
      <c r="N126" s="8">
        <v>5.6</v>
      </c>
      <c r="O126" s="8">
        <v>0</v>
      </c>
      <c r="P126" s="8">
        <v>0</v>
      </c>
      <c r="Q126" s="8" t="s">
        <v>1086</v>
      </c>
    </row>
    <row r="127" spans="1:17" x14ac:dyDescent="0.45">
      <c r="A127" s="8">
        <v>35.1</v>
      </c>
      <c r="B127" s="8">
        <v>65076.79</v>
      </c>
      <c r="C127" s="8">
        <v>643</v>
      </c>
      <c r="D127" s="8">
        <v>0</v>
      </c>
      <c r="E127" s="8">
        <v>0</v>
      </c>
      <c r="F127" s="8">
        <v>2</v>
      </c>
      <c r="G127" s="8">
        <v>1456.6</v>
      </c>
      <c r="H127" s="8">
        <v>10579.41</v>
      </c>
      <c r="I127" s="8">
        <v>27848.799999999999</v>
      </c>
      <c r="J127" s="8">
        <v>3132</v>
      </c>
      <c r="K127" s="8">
        <v>2</v>
      </c>
      <c r="L127" s="8">
        <v>8155.39</v>
      </c>
      <c r="M127" s="8">
        <v>0.8</v>
      </c>
      <c r="N127" s="8">
        <v>8.5</v>
      </c>
      <c r="O127" s="8">
        <v>0</v>
      </c>
      <c r="P127" s="8">
        <v>0</v>
      </c>
      <c r="Q127" s="8" t="s">
        <v>1086</v>
      </c>
    </row>
    <row r="128" spans="1:17" x14ac:dyDescent="0.45">
      <c r="A128" s="8">
        <v>42.7</v>
      </c>
      <c r="B128" s="8">
        <v>63076.3</v>
      </c>
      <c r="C128" s="8">
        <v>782</v>
      </c>
      <c r="D128" s="8">
        <v>1</v>
      </c>
      <c r="E128" s="8">
        <v>1</v>
      </c>
      <c r="F128" s="8">
        <v>7</v>
      </c>
      <c r="G128" s="8">
        <v>1461.14</v>
      </c>
      <c r="H128" s="8">
        <v>26530.97</v>
      </c>
      <c r="I128" s="8">
        <v>42606.74</v>
      </c>
      <c r="J128" s="8">
        <v>2907</v>
      </c>
      <c r="K128" s="8">
        <v>7</v>
      </c>
      <c r="L128" s="8">
        <v>6805.58</v>
      </c>
      <c r="M128" s="8">
        <v>0.5</v>
      </c>
      <c r="N128" s="8">
        <v>5.5</v>
      </c>
      <c r="O128" s="8">
        <v>0</v>
      </c>
      <c r="P128" s="8">
        <v>0</v>
      </c>
      <c r="Q128" s="8" t="s">
        <v>1086</v>
      </c>
    </row>
    <row r="129" spans="1:17" x14ac:dyDescent="0.45">
      <c r="A129" s="8">
        <v>49.6</v>
      </c>
      <c r="B129" s="8">
        <v>123601.08</v>
      </c>
      <c r="C129" s="8">
        <v>656</v>
      </c>
      <c r="D129" s="8">
        <v>1</v>
      </c>
      <c r="E129" s="8">
        <v>1</v>
      </c>
      <c r="F129" s="8">
        <v>57</v>
      </c>
      <c r="G129" s="8">
        <v>1523.09</v>
      </c>
      <c r="H129" s="8">
        <v>2715.12</v>
      </c>
      <c r="I129" s="8">
        <v>81403</v>
      </c>
      <c r="J129" s="8">
        <v>359</v>
      </c>
      <c r="K129" s="8">
        <v>57</v>
      </c>
      <c r="L129" s="8">
        <v>5169.28</v>
      </c>
      <c r="M129" s="8">
        <v>2.7</v>
      </c>
      <c r="N129" s="8">
        <v>3.7</v>
      </c>
      <c r="O129" s="8">
        <v>0</v>
      </c>
      <c r="P129" s="8">
        <v>0</v>
      </c>
      <c r="Q129" s="8" t="s">
        <v>1086</v>
      </c>
    </row>
    <row r="130" spans="1:17" x14ac:dyDescent="0.45">
      <c r="A130" s="8">
        <v>52.6</v>
      </c>
      <c r="B130" s="8">
        <v>79326.13</v>
      </c>
      <c r="C130" s="8">
        <v>670</v>
      </c>
      <c r="D130" s="8">
        <v>0</v>
      </c>
      <c r="E130" s="8">
        <v>1</v>
      </c>
      <c r="F130" s="8">
        <v>274</v>
      </c>
      <c r="G130" s="8">
        <v>1530.57</v>
      </c>
      <c r="H130" s="8">
        <v>33681.800000000003</v>
      </c>
      <c r="I130" s="8">
        <v>41612.31</v>
      </c>
      <c r="J130" s="8">
        <v>72</v>
      </c>
      <c r="K130" s="8">
        <v>274</v>
      </c>
      <c r="L130" s="8">
        <v>7267.7</v>
      </c>
      <c r="M130" s="8">
        <v>4.5</v>
      </c>
      <c r="N130" s="8">
        <v>1.6</v>
      </c>
      <c r="O130" s="8">
        <v>0</v>
      </c>
      <c r="P130" s="8">
        <v>0</v>
      </c>
      <c r="Q130" s="8" t="s">
        <v>1086</v>
      </c>
    </row>
    <row r="131" spans="1:17" x14ac:dyDescent="0.45">
      <c r="A131" s="8">
        <v>86.9</v>
      </c>
      <c r="B131" s="8">
        <v>68166.100000000006</v>
      </c>
      <c r="C131" s="8">
        <v>551</v>
      </c>
      <c r="D131" s="8">
        <v>0</v>
      </c>
      <c r="E131" s="8">
        <v>1</v>
      </c>
      <c r="F131" s="8">
        <v>56</v>
      </c>
      <c r="G131" s="8">
        <v>1565.88</v>
      </c>
      <c r="H131" s="8">
        <v>14619.54</v>
      </c>
      <c r="I131" s="8">
        <v>42362.51</v>
      </c>
      <c r="J131" s="8">
        <v>1185</v>
      </c>
      <c r="K131" s="8">
        <v>56</v>
      </c>
      <c r="L131" s="8">
        <v>5802.54</v>
      </c>
      <c r="M131" s="8">
        <v>5.0999999999999996</v>
      </c>
      <c r="N131" s="8">
        <v>5.7</v>
      </c>
      <c r="O131" s="8">
        <v>0</v>
      </c>
      <c r="P131" s="8">
        <v>0</v>
      </c>
      <c r="Q131" s="8" t="s">
        <v>1086</v>
      </c>
    </row>
    <row r="132" spans="1:17" x14ac:dyDescent="0.45">
      <c r="A132" s="8">
        <v>39</v>
      </c>
      <c r="B132" s="8">
        <v>113798.39999999999</v>
      </c>
      <c r="C132" s="8">
        <v>681</v>
      </c>
      <c r="D132" s="8">
        <v>0</v>
      </c>
      <c r="E132" s="8">
        <v>0</v>
      </c>
      <c r="F132" s="8">
        <v>11</v>
      </c>
      <c r="G132" s="8">
        <v>1580.41</v>
      </c>
      <c r="H132" s="8">
        <v>4370.4399999999996</v>
      </c>
      <c r="I132" s="8">
        <v>74816.490000000005</v>
      </c>
      <c r="J132" s="8">
        <v>1014</v>
      </c>
      <c r="K132" s="8">
        <v>11</v>
      </c>
      <c r="L132" s="8">
        <v>5714.21</v>
      </c>
      <c r="M132" s="8">
        <v>1.9</v>
      </c>
      <c r="N132" s="8">
        <v>5.5</v>
      </c>
      <c r="O132" s="8">
        <v>0</v>
      </c>
      <c r="P132" s="8">
        <v>0</v>
      </c>
      <c r="Q132" s="8" t="s">
        <v>1086</v>
      </c>
    </row>
    <row r="133" spans="1:17" x14ac:dyDescent="0.45">
      <c r="A133" s="8">
        <v>60.2</v>
      </c>
      <c r="B133" s="8">
        <v>69858.429999999993</v>
      </c>
      <c r="C133" s="8">
        <v>553</v>
      </c>
      <c r="D133" s="8">
        <v>0</v>
      </c>
      <c r="E133" s="8">
        <v>1</v>
      </c>
      <c r="F133" s="8">
        <v>80</v>
      </c>
      <c r="G133" s="8">
        <v>1583.35</v>
      </c>
      <c r="H133" s="8">
        <v>45378.11</v>
      </c>
      <c r="I133" s="8">
        <v>39956.25</v>
      </c>
      <c r="J133" s="8">
        <v>1755</v>
      </c>
      <c r="K133" s="8">
        <v>80</v>
      </c>
      <c r="L133" s="8">
        <v>1361.06</v>
      </c>
      <c r="M133" s="8">
        <v>0.9</v>
      </c>
      <c r="N133" s="8">
        <v>4.8</v>
      </c>
      <c r="O133" s="8">
        <v>0</v>
      </c>
      <c r="P133" s="8">
        <v>0</v>
      </c>
      <c r="Q133" s="8" t="s">
        <v>1086</v>
      </c>
    </row>
    <row r="134" spans="1:17" x14ac:dyDescent="0.45">
      <c r="A134" s="8">
        <v>28.7</v>
      </c>
      <c r="B134" s="8">
        <v>133150.94</v>
      </c>
      <c r="C134" s="8">
        <v>660</v>
      </c>
      <c r="D134" s="8">
        <v>1</v>
      </c>
      <c r="E134" s="8">
        <v>1</v>
      </c>
      <c r="F134" s="8">
        <v>144</v>
      </c>
      <c r="G134" s="8">
        <v>1594.4</v>
      </c>
      <c r="H134" s="8">
        <v>34170.720000000001</v>
      </c>
      <c r="I134" s="8">
        <v>84716.23</v>
      </c>
      <c r="J134" s="8">
        <v>3510</v>
      </c>
      <c r="K134" s="8">
        <v>144</v>
      </c>
      <c r="L134" s="8">
        <v>1263.1600000000001</v>
      </c>
      <c r="M134" s="8">
        <v>3</v>
      </c>
      <c r="N134" s="8">
        <v>3.6</v>
      </c>
      <c r="O134" s="8">
        <v>0</v>
      </c>
      <c r="P134" s="8">
        <v>0</v>
      </c>
      <c r="Q134" s="8" t="s">
        <v>1086</v>
      </c>
    </row>
    <row r="135" spans="1:17" x14ac:dyDescent="0.45">
      <c r="A135" s="8">
        <v>46.9</v>
      </c>
      <c r="B135" s="8">
        <v>58168.82</v>
      </c>
      <c r="C135" s="8">
        <v>570</v>
      </c>
      <c r="D135" s="8">
        <v>0</v>
      </c>
      <c r="E135" s="8">
        <v>1</v>
      </c>
      <c r="F135" s="8">
        <v>285</v>
      </c>
      <c r="G135" s="8">
        <v>1604.64</v>
      </c>
      <c r="H135" s="8">
        <v>75067.100000000006</v>
      </c>
      <c r="I135" s="8">
        <v>43297.14</v>
      </c>
      <c r="J135" s="8">
        <v>1675</v>
      </c>
      <c r="K135" s="8">
        <v>285</v>
      </c>
      <c r="L135" s="8">
        <v>7692.11</v>
      </c>
      <c r="M135" s="8">
        <v>4.5999999999999996</v>
      </c>
      <c r="N135" s="8">
        <v>4.5</v>
      </c>
      <c r="O135" s="8">
        <v>0</v>
      </c>
      <c r="P135" s="8">
        <v>0</v>
      </c>
      <c r="Q135" s="8" t="s">
        <v>1086</v>
      </c>
    </row>
    <row r="136" spans="1:17" x14ac:dyDescent="0.45">
      <c r="A136" s="8">
        <v>30.4</v>
      </c>
      <c r="B136" s="8">
        <v>118182.49</v>
      </c>
      <c r="C136" s="8">
        <v>563</v>
      </c>
      <c r="D136" s="8">
        <v>1</v>
      </c>
      <c r="E136" s="8">
        <v>1</v>
      </c>
      <c r="F136" s="8">
        <v>125</v>
      </c>
      <c r="G136" s="8">
        <v>1615.32</v>
      </c>
      <c r="H136" s="8">
        <v>25749.200000000001</v>
      </c>
      <c r="I136" s="8">
        <v>73910.759999999995</v>
      </c>
      <c r="J136" s="8">
        <v>2667</v>
      </c>
      <c r="K136" s="8">
        <v>125</v>
      </c>
      <c r="L136" s="8">
        <v>2416.37</v>
      </c>
      <c r="M136" s="8">
        <v>4.0999999999999996</v>
      </c>
      <c r="N136" s="8">
        <v>6.6</v>
      </c>
      <c r="O136" s="8">
        <v>0</v>
      </c>
      <c r="P136" s="8">
        <v>0</v>
      </c>
      <c r="Q136" s="8" t="s">
        <v>1086</v>
      </c>
    </row>
    <row r="137" spans="1:17" x14ac:dyDescent="0.45">
      <c r="A137" s="8">
        <v>51.8</v>
      </c>
      <c r="B137" s="8">
        <v>110958.1</v>
      </c>
      <c r="C137" s="8">
        <v>796</v>
      </c>
      <c r="D137" s="8">
        <v>0</v>
      </c>
      <c r="E137" s="8">
        <v>1</v>
      </c>
      <c r="F137" s="8">
        <v>282</v>
      </c>
      <c r="G137" s="8">
        <v>1659.02</v>
      </c>
      <c r="H137" s="8">
        <v>7484.85</v>
      </c>
      <c r="I137" s="8">
        <v>71771.070000000007</v>
      </c>
      <c r="J137" s="8">
        <v>3953</v>
      </c>
      <c r="K137" s="8">
        <v>282</v>
      </c>
      <c r="L137" s="8">
        <v>7284.55</v>
      </c>
      <c r="M137" s="8">
        <v>5.0999999999999996</v>
      </c>
      <c r="N137" s="8">
        <v>4</v>
      </c>
      <c r="O137" s="8">
        <v>0</v>
      </c>
      <c r="P137" s="8">
        <v>0</v>
      </c>
      <c r="Q137" s="8" t="s">
        <v>1086</v>
      </c>
    </row>
    <row r="138" spans="1:17" x14ac:dyDescent="0.45">
      <c r="A138" s="8">
        <v>50.1</v>
      </c>
      <c r="B138" s="8">
        <v>107353.39</v>
      </c>
      <c r="C138" s="8">
        <v>709</v>
      </c>
      <c r="D138" s="8">
        <v>0</v>
      </c>
      <c r="E138" s="8">
        <v>0</v>
      </c>
      <c r="F138" s="8">
        <v>64</v>
      </c>
      <c r="G138" s="8">
        <v>1668.74</v>
      </c>
      <c r="H138" s="8">
        <v>64273.3</v>
      </c>
      <c r="I138" s="8">
        <v>47465.66</v>
      </c>
      <c r="J138" s="8">
        <v>2493</v>
      </c>
      <c r="K138" s="8">
        <v>64</v>
      </c>
      <c r="L138" s="8">
        <v>5674.66</v>
      </c>
      <c r="M138" s="8">
        <v>3.9</v>
      </c>
      <c r="N138" s="8">
        <v>4.5</v>
      </c>
      <c r="O138" s="8">
        <v>0</v>
      </c>
      <c r="P138" s="8">
        <v>0</v>
      </c>
      <c r="Q138" s="8" t="s">
        <v>1086</v>
      </c>
    </row>
    <row r="139" spans="1:17" x14ac:dyDescent="0.45">
      <c r="A139" s="8">
        <v>56.9</v>
      </c>
      <c r="B139" s="8">
        <v>109452.59</v>
      </c>
      <c r="C139" s="8">
        <v>675</v>
      </c>
      <c r="D139" s="8">
        <v>0</v>
      </c>
      <c r="E139" s="8">
        <v>0</v>
      </c>
      <c r="F139" s="8">
        <v>273</v>
      </c>
      <c r="G139" s="8">
        <v>1700.88</v>
      </c>
      <c r="H139" s="8">
        <v>1009.47</v>
      </c>
      <c r="I139" s="8">
        <v>71153.820000000007</v>
      </c>
      <c r="J139" s="8">
        <v>2719</v>
      </c>
      <c r="K139" s="8">
        <v>273</v>
      </c>
      <c r="L139" s="8">
        <v>3252.3</v>
      </c>
      <c r="M139" s="8">
        <v>4.5</v>
      </c>
      <c r="N139" s="8">
        <v>2.2999999999999998</v>
      </c>
      <c r="O139" s="8">
        <v>0</v>
      </c>
      <c r="P139" s="8">
        <v>0</v>
      </c>
      <c r="Q139" s="8" t="s">
        <v>1086</v>
      </c>
    </row>
    <row r="140" spans="1:17" x14ac:dyDescent="0.45">
      <c r="A140" s="8">
        <v>62.8</v>
      </c>
      <c r="B140" s="8">
        <v>66999.039999999994</v>
      </c>
      <c r="C140" s="8">
        <v>795</v>
      </c>
      <c r="D140" s="8">
        <v>0</v>
      </c>
      <c r="E140" s="8">
        <v>0</v>
      </c>
      <c r="F140" s="8">
        <v>35</v>
      </c>
      <c r="G140" s="8">
        <v>1715.06</v>
      </c>
      <c r="H140" s="8">
        <v>17141.27</v>
      </c>
      <c r="I140" s="8">
        <v>53678.54</v>
      </c>
      <c r="J140" s="8">
        <v>1499</v>
      </c>
      <c r="K140" s="8">
        <v>35</v>
      </c>
      <c r="L140" s="8">
        <v>6247.48</v>
      </c>
      <c r="M140" s="8">
        <v>0.5</v>
      </c>
      <c r="N140" s="8">
        <v>2.7</v>
      </c>
      <c r="O140" s="8">
        <v>0</v>
      </c>
      <c r="P140" s="8">
        <v>0</v>
      </c>
      <c r="Q140" s="8" t="s">
        <v>1086</v>
      </c>
    </row>
    <row r="141" spans="1:17" x14ac:dyDescent="0.45">
      <c r="A141" s="8">
        <v>19</v>
      </c>
      <c r="B141" s="8">
        <v>86869.36</v>
      </c>
      <c r="C141" s="8">
        <v>650</v>
      </c>
      <c r="D141" s="8">
        <v>1</v>
      </c>
      <c r="E141" s="8">
        <v>1</v>
      </c>
      <c r="F141" s="8">
        <v>190</v>
      </c>
      <c r="G141" s="8">
        <v>1728.17</v>
      </c>
      <c r="H141" s="8">
        <v>2564.9299999999998</v>
      </c>
      <c r="I141" s="8">
        <v>38165.980000000003</v>
      </c>
      <c r="J141" s="8">
        <v>511</v>
      </c>
      <c r="K141" s="8">
        <v>190</v>
      </c>
      <c r="L141" s="8">
        <v>8204.57</v>
      </c>
      <c r="M141" s="8">
        <v>1.7</v>
      </c>
      <c r="N141" s="8">
        <v>8.3000000000000007</v>
      </c>
      <c r="O141" s="8">
        <v>0</v>
      </c>
      <c r="P141" s="8">
        <v>0</v>
      </c>
      <c r="Q141" s="8" t="s">
        <v>1086</v>
      </c>
    </row>
    <row r="142" spans="1:17" x14ac:dyDescent="0.45">
      <c r="A142" s="8">
        <v>38</v>
      </c>
      <c r="B142" s="8">
        <v>99642.4</v>
      </c>
      <c r="C142" s="8">
        <v>657</v>
      </c>
      <c r="D142" s="8">
        <v>0</v>
      </c>
      <c r="E142" s="8">
        <v>1</v>
      </c>
      <c r="F142" s="8">
        <v>65</v>
      </c>
      <c r="G142" s="8">
        <v>1764.92</v>
      </c>
      <c r="H142" s="8">
        <v>15585.87</v>
      </c>
      <c r="I142" s="8">
        <v>70323.570000000007</v>
      </c>
      <c r="J142" s="8">
        <v>3213</v>
      </c>
      <c r="K142" s="8">
        <v>65</v>
      </c>
      <c r="L142" s="8">
        <v>4632.25</v>
      </c>
      <c r="M142" s="8">
        <v>3.8</v>
      </c>
      <c r="N142" s="8">
        <v>4.0999999999999996</v>
      </c>
      <c r="O142" s="8">
        <v>0</v>
      </c>
      <c r="P142" s="8">
        <v>0</v>
      </c>
      <c r="Q142" s="8" t="s">
        <v>1086</v>
      </c>
    </row>
    <row r="143" spans="1:17" x14ac:dyDescent="0.45">
      <c r="A143" s="8">
        <v>73.099999999999994</v>
      </c>
      <c r="B143" s="8">
        <v>139797.45000000001</v>
      </c>
      <c r="C143" s="8">
        <v>790</v>
      </c>
      <c r="D143" s="8">
        <v>1</v>
      </c>
      <c r="E143" s="8">
        <v>0</v>
      </c>
      <c r="F143" s="8">
        <v>257</v>
      </c>
      <c r="G143" s="8">
        <v>1766.69</v>
      </c>
      <c r="H143" s="8">
        <v>4087.38</v>
      </c>
      <c r="I143" s="8">
        <v>87488.76</v>
      </c>
      <c r="J143" s="8">
        <v>2522</v>
      </c>
      <c r="K143" s="8">
        <v>257</v>
      </c>
      <c r="L143" s="8">
        <v>8449.4699999999993</v>
      </c>
      <c r="M143" s="8">
        <v>4.0999999999999996</v>
      </c>
      <c r="N143" s="8">
        <v>1.6</v>
      </c>
      <c r="O143" s="8">
        <v>0</v>
      </c>
      <c r="P143" s="8">
        <v>0</v>
      </c>
      <c r="Q143" s="8" t="s">
        <v>1086</v>
      </c>
    </row>
    <row r="144" spans="1:17" x14ac:dyDescent="0.45">
      <c r="A144" s="8">
        <v>55.4</v>
      </c>
      <c r="B144" s="8">
        <v>105100.98</v>
      </c>
      <c r="C144" s="8">
        <v>629</v>
      </c>
      <c r="D144" s="8">
        <v>1</v>
      </c>
      <c r="E144" s="8">
        <v>0</v>
      </c>
      <c r="F144" s="8">
        <v>21</v>
      </c>
      <c r="G144" s="8">
        <v>1775.56</v>
      </c>
      <c r="H144" s="8">
        <v>4078.07</v>
      </c>
      <c r="I144" s="8">
        <v>61791.61</v>
      </c>
      <c r="J144" s="8">
        <v>3205</v>
      </c>
      <c r="K144" s="8">
        <v>21</v>
      </c>
      <c r="L144" s="8">
        <v>75.19</v>
      </c>
      <c r="M144" s="8">
        <v>5.7</v>
      </c>
      <c r="N144" s="8">
        <v>6.7</v>
      </c>
      <c r="O144" s="8">
        <v>0</v>
      </c>
      <c r="P144" s="8">
        <v>0</v>
      </c>
      <c r="Q144" s="8" t="s">
        <v>1086</v>
      </c>
    </row>
    <row r="145" spans="1:17" x14ac:dyDescent="0.45">
      <c r="A145" s="8">
        <v>40.299999999999997</v>
      </c>
      <c r="B145" s="8">
        <v>77322.42</v>
      </c>
      <c r="C145" s="8">
        <v>644</v>
      </c>
      <c r="D145" s="8">
        <v>0</v>
      </c>
      <c r="E145" s="8">
        <v>0</v>
      </c>
      <c r="F145" s="8">
        <v>76</v>
      </c>
      <c r="G145" s="8">
        <v>1787.43</v>
      </c>
      <c r="H145" s="8">
        <v>8229.58</v>
      </c>
      <c r="I145" s="8">
        <v>56882.04</v>
      </c>
      <c r="J145" s="8">
        <v>3212</v>
      </c>
      <c r="K145" s="8">
        <v>76</v>
      </c>
      <c r="L145" s="8">
        <v>7866.97</v>
      </c>
      <c r="M145" s="8">
        <v>2.2000000000000002</v>
      </c>
      <c r="N145" s="8">
        <v>5.3</v>
      </c>
      <c r="O145" s="8">
        <v>0</v>
      </c>
      <c r="P145" s="8">
        <v>0</v>
      </c>
      <c r="Q145" s="8" t="s">
        <v>1086</v>
      </c>
    </row>
    <row r="146" spans="1:17" x14ac:dyDescent="0.45">
      <c r="A146" s="8">
        <v>65.900000000000006</v>
      </c>
      <c r="B146" s="8">
        <v>84639.02</v>
      </c>
      <c r="C146" s="8">
        <v>614</v>
      </c>
      <c r="D146" s="8">
        <v>0</v>
      </c>
      <c r="E146" s="8">
        <v>1</v>
      </c>
      <c r="F146" s="8">
        <v>187</v>
      </c>
      <c r="G146" s="8">
        <v>1809.79</v>
      </c>
      <c r="H146" s="8">
        <v>1122.21</v>
      </c>
      <c r="I146" s="8">
        <v>69933.98</v>
      </c>
      <c r="J146" s="8">
        <v>1159</v>
      </c>
      <c r="K146" s="8">
        <v>187</v>
      </c>
      <c r="L146" s="8">
        <v>9743.31</v>
      </c>
      <c r="M146" s="8">
        <v>1.6</v>
      </c>
      <c r="N146" s="8">
        <v>7</v>
      </c>
      <c r="O146" s="8">
        <v>0</v>
      </c>
      <c r="P146" s="8">
        <v>0</v>
      </c>
      <c r="Q146" s="8" t="s">
        <v>1086</v>
      </c>
    </row>
    <row r="147" spans="1:17" x14ac:dyDescent="0.45">
      <c r="A147" s="8">
        <v>54.9</v>
      </c>
      <c r="B147" s="8">
        <v>146266.49</v>
      </c>
      <c r="C147" s="8">
        <v>720</v>
      </c>
      <c r="D147" s="8">
        <v>0</v>
      </c>
      <c r="E147" s="8">
        <v>1</v>
      </c>
      <c r="F147" s="8">
        <v>60</v>
      </c>
      <c r="G147" s="8">
        <v>1854.22</v>
      </c>
      <c r="H147" s="8">
        <v>9664.7099999999991</v>
      </c>
      <c r="I147" s="8">
        <v>112886.87</v>
      </c>
      <c r="J147" s="8">
        <v>1810</v>
      </c>
      <c r="K147" s="8">
        <v>60</v>
      </c>
      <c r="L147" s="8">
        <v>9343.36</v>
      </c>
      <c r="M147" s="8">
        <v>2.6</v>
      </c>
      <c r="N147" s="8">
        <v>1.1000000000000001</v>
      </c>
      <c r="O147" s="8">
        <v>0</v>
      </c>
      <c r="P147" s="8">
        <v>0</v>
      </c>
      <c r="Q147" s="8" t="s">
        <v>1086</v>
      </c>
    </row>
    <row r="148" spans="1:17" x14ac:dyDescent="0.45">
      <c r="A148" s="8">
        <v>34.5</v>
      </c>
      <c r="B148" s="8">
        <v>75669.820000000007</v>
      </c>
      <c r="C148" s="8">
        <v>631</v>
      </c>
      <c r="D148" s="8">
        <v>0</v>
      </c>
      <c r="E148" s="8">
        <v>1</v>
      </c>
      <c r="F148" s="8">
        <v>123</v>
      </c>
      <c r="G148" s="8">
        <v>1866.45</v>
      </c>
      <c r="H148" s="8">
        <v>1106.67</v>
      </c>
      <c r="I148" s="8">
        <v>68419.460000000006</v>
      </c>
      <c r="J148" s="8">
        <v>2045</v>
      </c>
      <c r="K148" s="8">
        <v>123</v>
      </c>
      <c r="L148" s="8">
        <v>7390.63</v>
      </c>
      <c r="M148" s="8">
        <v>3.9</v>
      </c>
      <c r="N148" s="8">
        <v>6.3</v>
      </c>
      <c r="O148" s="8">
        <v>0</v>
      </c>
      <c r="P148" s="8">
        <v>0</v>
      </c>
      <c r="Q148" s="8" t="s">
        <v>1086</v>
      </c>
    </row>
    <row r="149" spans="1:17" x14ac:dyDescent="0.45">
      <c r="A149" s="8">
        <v>61.4</v>
      </c>
      <c r="B149" s="8">
        <v>98979.26</v>
      </c>
      <c r="C149" s="8">
        <v>696</v>
      </c>
      <c r="D149" s="8">
        <v>0</v>
      </c>
      <c r="E149" s="8">
        <v>0</v>
      </c>
      <c r="F149" s="8">
        <v>158</v>
      </c>
      <c r="G149" s="8">
        <v>1899.26</v>
      </c>
      <c r="H149" s="8">
        <v>129.71</v>
      </c>
      <c r="I149" s="8">
        <v>76357.789999999994</v>
      </c>
      <c r="J149" s="8">
        <v>1771</v>
      </c>
      <c r="K149" s="8">
        <v>158</v>
      </c>
      <c r="L149" s="8">
        <v>2373.31</v>
      </c>
      <c r="M149" s="8">
        <v>3.2</v>
      </c>
      <c r="N149" s="8">
        <v>5.0999999999999996</v>
      </c>
      <c r="O149" s="8">
        <v>0</v>
      </c>
      <c r="P149" s="8">
        <v>0</v>
      </c>
      <c r="Q149" s="8" t="s">
        <v>1086</v>
      </c>
    </row>
    <row r="150" spans="1:17" x14ac:dyDescent="0.45">
      <c r="A150" s="8">
        <v>56.2</v>
      </c>
      <c r="B150" s="8">
        <v>124430.46</v>
      </c>
      <c r="C150" s="8">
        <v>746</v>
      </c>
      <c r="D150" s="8">
        <v>1</v>
      </c>
      <c r="E150" s="8">
        <v>0</v>
      </c>
      <c r="F150" s="8">
        <v>31</v>
      </c>
      <c r="G150" s="8">
        <v>1915.74</v>
      </c>
      <c r="H150" s="8">
        <v>32609.71</v>
      </c>
      <c r="I150" s="8">
        <v>63103.81</v>
      </c>
      <c r="J150" s="8">
        <v>3174</v>
      </c>
      <c r="K150" s="8">
        <v>31</v>
      </c>
      <c r="L150" s="8">
        <v>2643.42</v>
      </c>
      <c r="M150" s="8">
        <v>0.5</v>
      </c>
      <c r="N150" s="8">
        <v>7</v>
      </c>
      <c r="O150" s="8">
        <v>0</v>
      </c>
      <c r="P150" s="8">
        <v>0</v>
      </c>
      <c r="Q150" s="8" t="s">
        <v>1086</v>
      </c>
    </row>
    <row r="151" spans="1:17" x14ac:dyDescent="0.45">
      <c r="A151" s="8">
        <v>42</v>
      </c>
      <c r="B151" s="8">
        <v>87098.44</v>
      </c>
      <c r="C151" s="8">
        <v>684</v>
      </c>
      <c r="D151" s="8">
        <v>0</v>
      </c>
      <c r="E151" s="8">
        <v>1</v>
      </c>
      <c r="F151" s="8">
        <v>25</v>
      </c>
      <c r="G151" s="8">
        <v>1932.97</v>
      </c>
      <c r="H151" s="8">
        <v>199.2</v>
      </c>
      <c r="I151" s="8">
        <v>73671.39</v>
      </c>
      <c r="J151" s="8">
        <v>1104</v>
      </c>
      <c r="K151" s="8">
        <v>25</v>
      </c>
      <c r="L151" s="8">
        <v>1353.56</v>
      </c>
      <c r="M151" s="8">
        <v>2.9</v>
      </c>
      <c r="N151" s="8">
        <v>5.4</v>
      </c>
      <c r="O151" s="8">
        <v>0</v>
      </c>
      <c r="P151" s="8">
        <v>0</v>
      </c>
      <c r="Q151" s="8" t="s">
        <v>1086</v>
      </c>
    </row>
    <row r="152" spans="1:17" x14ac:dyDescent="0.45">
      <c r="A152" s="8">
        <v>32.5</v>
      </c>
      <c r="B152" s="8">
        <v>101632.4</v>
      </c>
      <c r="C152" s="8">
        <v>581</v>
      </c>
      <c r="D152" s="8">
        <v>0</v>
      </c>
      <c r="E152" s="8">
        <v>1</v>
      </c>
      <c r="F152" s="8">
        <v>216</v>
      </c>
      <c r="G152" s="8">
        <v>1950.78</v>
      </c>
      <c r="H152" s="8">
        <v>23060.16</v>
      </c>
      <c r="I152" s="8">
        <v>57109.63</v>
      </c>
      <c r="J152" s="8">
        <v>4968</v>
      </c>
      <c r="K152" s="8">
        <v>216</v>
      </c>
      <c r="L152" s="8">
        <v>8060.52</v>
      </c>
      <c r="M152" s="8">
        <v>0.5</v>
      </c>
      <c r="N152" s="8">
        <v>3.4</v>
      </c>
      <c r="O152" s="8">
        <v>0</v>
      </c>
      <c r="P152" s="8">
        <v>0</v>
      </c>
      <c r="Q152" s="8" t="s">
        <v>1086</v>
      </c>
    </row>
    <row r="153" spans="1:17" x14ac:dyDescent="0.45">
      <c r="A153" s="8">
        <v>57.6</v>
      </c>
      <c r="B153" s="8">
        <v>87434.29</v>
      </c>
      <c r="C153" s="8">
        <v>497</v>
      </c>
      <c r="D153" s="8">
        <v>0</v>
      </c>
      <c r="E153" s="8">
        <v>1</v>
      </c>
      <c r="F153" s="8">
        <v>50</v>
      </c>
      <c r="G153" s="8">
        <v>1951.75</v>
      </c>
      <c r="H153" s="8">
        <v>6261.3</v>
      </c>
      <c r="I153" s="8">
        <v>36383.74</v>
      </c>
      <c r="J153" s="8">
        <v>1573</v>
      </c>
      <c r="K153" s="8">
        <v>50</v>
      </c>
      <c r="L153" s="8">
        <v>9844.58</v>
      </c>
      <c r="M153" s="8">
        <v>4.4000000000000004</v>
      </c>
      <c r="N153" s="8">
        <v>7.3</v>
      </c>
      <c r="O153" s="8">
        <v>0</v>
      </c>
      <c r="P153" s="8">
        <v>0</v>
      </c>
      <c r="Q153" s="8" t="s">
        <v>1086</v>
      </c>
    </row>
    <row r="154" spans="1:17" x14ac:dyDescent="0.45">
      <c r="A154" s="8">
        <v>57.8</v>
      </c>
      <c r="B154" s="8">
        <v>92344.25</v>
      </c>
      <c r="C154" s="8">
        <v>636</v>
      </c>
      <c r="D154" s="8">
        <v>1</v>
      </c>
      <c r="E154" s="8">
        <v>1</v>
      </c>
      <c r="F154" s="8">
        <v>122</v>
      </c>
      <c r="G154" s="8">
        <v>1962.15</v>
      </c>
      <c r="H154" s="8">
        <v>41278.160000000003</v>
      </c>
      <c r="I154" s="8">
        <v>92344.25</v>
      </c>
      <c r="J154" s="8">
        <v>4844</v>
      </c>
      <c r="K154" s="8">
        <v>122</v>
      </c>
      <c r="L154" s="8">
        <v>3237.48</v>
      </c>
      <c r="M154" s="8">
        <v>4.5</v>
      </c>
      <c r="N154" s="8">
        <v>4.0999999999999996</v>
      </c>
      <c r="O154" s="8">
        <v>0</v>
      </c>
      <c r="P154" s="8">
        <v>0</v>
      </c>
      <c r="Q154" s="8" t="s">
        <v>1086</v>
      </c>
    </row>
    <row r="155" spans="1:17" x14ac:dyDescent="0.45">
      <c r="A155" s="8">
        <v>42.1</v>
      </c>
      <c r="B155" s="8">
        <v>103214.15</v>
      </c>
      <c r="C155" s="8">
        <v>620</v>
      </c>
      <c r="D155" s="8">
        <v>0</v>
      </c>
      <c r="E155" s="8">
        <v>0</v>
      </c>
      <c r="F155" s="8">
        <v>137</v>
      </c>
      <c r="G155" s="8">
        <v>1966.15</v>
      </c>
      <c r="H155" s="8">
        <v>42285.56</v>
      </c>
      <c r="I155" s="8">
        <v>66393.039999999994</v>
      </c>
      <c r="J155" s="8">
        <v>1895</v>
      </c>
      <c r="K155" s="8">
        <v>137</v>
      </c>
      <c r="L155" s="8">
        <v>6743.33</v>
      </c>
      <c r="M155" s="8">
        <v>3.6</v>
      </c>
      <c r="N155" s="8">
        <v>5.3</v>
      </c>
      <c r="O155" s="8">
        <v>0</v>
      </c>
      <c r="P155" s="8">
        <v>0</v>
      </c>
      <c r="Q155" s="8" t="s">
        <v>1086</v>
      </c>
    </row>
    <row r="156" spans="1:17" x14ac:dyDescent="0.45">
      <c r="A156" s="8">
        <v>37.9</v>
      </c>
      <c r="B156" s="8">
        <v>96351.77</v>
      </c>
      <c r="C156" s="8">
        <v>504</v>
      </c>
      <c r="D156" s="8">
        <v>0</v>
      </c>
      <c r="E156" s="8">
        <v>0</v>
      </c>
      <c r="F156" s="8">
        <v>139</v>
      </c>
      <c r="G156" s="8">
        <v>1977.89</v>
      </c>
      <c r="H156" s="8">
        <v>1050.0999999999999</v>
      </c>
      <c r="I156" s="8">
        <v>56101.83</v>
      </c>
      <c r="J156" s="8">
        <v>4693</v>
      </c>
      <c r="K156" s="8">
        <v>139</v>
      </c>
      <c r="L156" s="8">
        <v>928.93</v>
      </c>
      <c r="M156" s="8">
        <v>6.8</v>
      </c>
      <c r="N156" s="8">
        <v>6.3</v>
      </c>
      <c r="O156" s="8">
        <v>0</v>
      </c>
      <c r="P156" s="8">
        <v>0</v>
      </c>
      <c r="Q156" s="8" t="s">
        <v>1086</v>
      </c>
    </row>
    <row r="157" spans="1:17" x14ac:dyDescent="0.45">
      <c r="A157" s="8">
        <v>29.3</v>
      </c>
      <c r="B157" s="8">
        <v>118256.1</v>
      </c>
      <c r="C157" s="8">
        <v>578</v>
      </c>
      <c r="D157" s="8">
        <v>0</v>
      </c>
      <c r="E157" s="8">
        <v>1</v>
      </c>
      <c r="F157" s="8">
        <v>270</v>
      </c>
      <c r="G157" s="8">
        <v>1978.83</v>
      </c>
      <c r="H157" s="8">
        <v>4.54</v>
      </c>
      <c r="I157" s="8">
        <v>75578.73</v>
      </c>
      <c r="J157" s="8">
        <v>382</v>
      </c>
      <c r="K157" s="8">
        <v>270</v>
      </c>
      <c r="L157" s="8">
        <v>3973.31</v>
      </c>
      <c r="M157" s="8">
        <v>5.9</v>
      </c>
      <c r="N157" s="8">
        <v>3.4</v>
      </c>
      <c r="O157" s="8">
        <v>0</v>
      </c>
      <c r="P157" s="8">
        <v>0</v>
      </c>
      <c r="Q157" s="8" t="s">
        <v>1086</v>
      </c>
    </row>
    <row r="158" spans="1:17" x14ac:dyDescent="0.45">
      <c r="A158" s="8">
        <v>44.2</v>
      </c>
      <c r="B158" s="8">
        <v>54397.69</v>
      </c>
      <c r="C158" s="8">
        <v>768</v>
      </c>
      <c r="D158" s="8">
        <v>0</v>
      </c>
      <c r="E158" s="8">
        <v>0</v>
      </c>
      <c r="F158" s="8">
        <v>249</v>
      </c>
      <c r="G158" s="8">
        <v>1988.61</v>
      </c>
      <c r="H158" s="8">
        <v>4875.42</v>
      </c>
      <c r="I158" s="8">
        <v>29940.59</v>
      </c>
      <c r="J158" s="8">
        <v>613</v>
      </c>
      <c r="K158" s="8">
        <v>249</v>
      </c>
      <c r="L158" s="8">
        <v>5232.08</v>
      </c>
      <c r="M158" s="8">
        <v>1.6</v>
      </c>
      <c r="N158" s="8">
        <v>4.3</v>
      </c>
      <c r="O158" s="8">
        <v>0</v>
      </c>
      <c r="P158" s="8">
        <v>0</v>
      </c>
      <c r="Q158" s="8" t="s">
        <v>1086</v>
      </c>
    </row>
    <row r="159" spans="1:17" x14ac:dyDescent="0.45">
      <c r="A159" s="8">
        <v>35.700000000000003</v>
      </c>
      <c r="B159" s="8">
        <v>116057.43</v>
      </c>
      <c r="C159" s="8">
        <v>806</v>
      </c>
      <c r="D159" s="8">
        <v>0</v>
      </c>
      <c r="E159" s="8">
        <v>1</v>
      </c>
      <c r="F159" s="8">
        <v>160</v>
      </c>
      <c r="G159" s="8">
        <v>2033.46</v>
      </c>
      <c r="H159" s="8">
        <v>8480.11</v>
      </c>
      <c r="I159" s="8">
        <v>90674.55</v>
      </c>
      <c r="J159" s="8">
        <v>3082</v>
      </c>
      <c r="K159" s="8">
        <v>160</v>
      </c>
      <c r="L159" s="8">
        <v>4284.87</v>
      </c>
      <c r="M159" s="8">
        <v>3.4</v>
      </c>
      <c r="N159" s="8">
        <v>2.2999999999999998</v>
      </c>
      <c r="O159" s="8">
        <v>0</v>
      </c>
      <c r="P159" s="8">
        <v>0</v>
      </c>
      <c r="Q159" s="8" t="s">
        <v>1086</v>
      </c>
    </row>
    <row r="160" spans="1:17" x14ac:dyDescent="0.45">
      <c r="A160" s="8">
        <v>42.9</v>
      </c>
      <c r="B160" s="8">
        <v>103218.15</v>
      </c>
      <c r="C160" s="8">
        <v>643</v>
      </c>
      <c r="D160" s="8">
        <v>0</v>
      </c>
      <c r="E160" s="8">
        <v>0</v>
      </c>
      <c r="F160" s="8">
        <v>54</v>
      </c>
      <c r="G160" s="8">
        <v>2038.87</v>
      </c>
      <c r="H160" s="8">
        <v>16199.63</v>
      </c>
      <c r="I160" s="8">
        <v>68769.509999999995</v>
      </c>
      <c r="J160" s="8">
        <v>2782</v>
      </c>
      <c r="K160" s="8">
        <v>54</v>
      </c>
      <c r="L160" s="8">
        <v>7494.09</v>
      </c>
      <c r="M160" s="8">
        <v>3.4</v>
      </c>
      <c r="N160" s="8">
        <v>5.3</v>
      </c>
      <c r="O160" s="8">
        <v>0</v>
      </c>
      <c r="P160" s="8">
        <v>0</v>
      </c>
      <c r="Q160" s="8" t="s">
        <v>1086</v>
      </c>
    </row>
    <row r="161" spans="1:17" x14ac:dyDescent="0.45">
      <c r="A161" s="8">
        <v>42.3</v>
      </c>
      <c r="B161" s="8">
        <v>83085.86</v>
      </c>
      <c r="C161" s="8">
        <v>777</v>
      </c>
      <c r="D161" s="8">
        <v>1</v>
      </c>
      <c r="E161" s="8">
        <v>1</v>
      </c>
      <c r="F161" s="8">
        <v>149</v>
      </c>
      <c r="G161" s="8">
        <v>2066.85</v>
      </c>
      <c r="H161" s="8">
        <v>14364.9</v>
      </c>
      <c r="I161" s="8">
        <v>29642.53</v>
      </c>
      <c r="J161" s="8">
        <v>273</v>
      </c>
      <c r="K161" s="8">
        <v>149</v>
      </c>
      <c r="L161" s="8">
        <v>3318.77</v>
      </c>
      <c r="M161" s="8">
        <v>3.6</v>
      </c>
      <c r="N161" s="8">
        <v>11.5</v>
      </c>
      <c r="O161" s="8">
        <v>0</v>
      </c>
      <c r="P161" s="8">
        <v>0</v>
      </c>
      <c r="Q161" s="8" t="s">
        <v>1086</v>
      </c>
    </row>
    <row r="162" spans="1:17" x14ac:dyDescent="0.45">
      <c r="A162" s="8">
        <v>53.2</v>
      </c>
      <c r="B162" s="8">
        <v>124278.08</v>
      </c>
      <c r="C162" s="8">
        <v>712</v>
      </c>
      <c r="D162" s="8">
        <v>1</v>
      </c>
      <c r="E162" s="8">
        <v>1</v>
      </c>
      <c r="F162" s="8">
        <v>132</v>
      </c>
      <c r="G162" s="8">
        <v>2072.12</v>
      </c>
      <c r="H162" s="8">
        <v>3521.81</v>
      </c>
      <c r="I162" s="8">
        <v>72315.42</v>
      </c>
      <c r="J162" s="8">
        <v>2730</v>
      </c>
      <c r="K162" s="8">
        <v>132</v>
      </c>
      <c r="L162" s="8">
        <v>6536.36</v>
      </c>
      <c r="M162" s="8">
        <v>0.5</v>
      </c>
      <c r="N162" s="8">
        <v>12.7</v>
      </c>
      <c r="O162" s="8">
        <v>0</v>
      </c>
      <c r="P162" s="8">
        <v>0</v>
      </c>
      <c r="Q162" s="8" t="s">
        <v>1086</v>
      </c>
    </row>
    <row r="163" spans="1:17" x14ac:dyDescent="0.45">
      <c r="A163" s="8">
        <v>38.799999999999997</v>
      </c>
      <c r="B163" s="8">
        <v>64455</v>
      </c>
      <c r="C163" s="8">
        <v>741</v>
      </c>
      <c r="D163" s="8">
        <v>1</v>
      </c>
      <c r="E163" s="8">
        <v>0</v>
      </c>
      <c r="F163" s="8">
        <v>154</v>
      </c>
      <c r="G163" s="8">
        <v>2101.1</v>
      </c>
      <c r="H163" s="8">
        <v>18095.46</v>
      </c>
      <c r="I163" s="8">
        <v>29938.39</v>
      </c>
      <c r="J163" s="8">
        <v>2952</v>
      </c>
      <c r="K163" s="8">
        <v>154</v>
      </c>
      <c r="L163" s="8">
        <v>4574.82</v>
      </c>
      <c r="M163" s="8">
        <v>3.7</v>
      </c>
      <c r="N163" s="8">
        <v>6.2</v>
      </c>
      <c r="O163" s="8">
        <v>0</v>
      </c>
      <c r="P163" s="8">
        <v>0</v>
      </c>
      <c r="Q163" s="8" t="s">
        <v>1086</v>
      </c>
    </row>
    <row r="164" spans="1:17" x14ac:dyDescent="0.45">
      <c r="A164" s="8">
        <v>59.4</v>
      </c>
      <c r="B164" s="8">
        <v>115144.62</v>
      </c>
      <c r="C164" s="8">
        <v>783</v>
      </c>
      <c r="D164" s="8">
        <v>0</v>
      </c>
      <c r="E164" s="8">
        <v>1</v>
      </c>
      <c r="F164" s="8">
        <v>31</v>
      </c>
      <c r="G164" s="8">
        <v>2151.17</v>
      </c>
      <c r="H164" s="8">
        <v>33091.46</v>
      </c>
      <c r="I164" s="8">
        <v>77646.66</v>
      </c>
      <c r="J164" s="8">
        <v>1751</v>
      </c>
      <c r="K164" s="8">
        <v>31</v>
      </c>
      <c r="L164" s="8">
        <v>7849.39</v>
      </c>
      <c r="M164" s="8">
        <v>2.9</v>
      </c>
      <c r="N164" s="8">
        <v>8.1</v>
      </c>
      <c r="O164" s="8">
        <v>0</v>
      </c>
      <c r="P164" s="8">
        <v>0</v>
      </c>
      <c r="Q164" s="8" t="s">
        <v>1086</v>
      </c>
    </row>
    <row r="165" spans="1:17" x14ac:dyDescent="0.45">
      <c r="A165" s="8">
        <v>72.8</v>
      </c>
      <c r="B165" s="8">
        <v>84617.72</v>
      </c>
      <c r="C165" s="8">
        <v>761</v>
      </c>
      <c r="D165" s="8">
        <v>1</v>
      </c>
      <c r="E165" s="8">
        <v>0</v>
      </c>
      <c r="F165" s="8">
        <v>56</v>
      </c>
      <c r="G165" s="8">
        <v>2174.5100000000002</v>
      </c>
      <c r="H165" s="8">
        <v>1651.99</v>
      </c>
      <c r="I165" s="8">
        <v>68481.22</v>
      </c>
      <c r="J165" s="8">
        <v>2394</v>
      </c>
      <c r="K165" s="8">
        <v>56</v>
      </c>
      <c r="L165" s="8">
        <v>1135.6099999999999</v>
      </c>
      <c r="M165" s="8">
        <v>5.6</v>
      </c>
      <c r="N165" s="8">
        <v>9</v>
      </c>
      <c r="O165" s="8">
        <v>0</v>
      </c>
      <c r="P165" s="8">
        <v>0</v>
      </c>
      <c r="Q165" s="8" t="s">
        <v>1086</v>
      </c>
    </row>
    <row r="166" spans="1:17" x14ac:dyDescent="0.45">
      <c r="A166" s="8">
        <v>41.4</v>
      </c>
      <c r="B166" s="8">
        <v>65989.009999999995</v>
      </c>
      <c r="C166" s="8">
        <v>656</v>
      </c>
      <c r="D166" s="8">
        <v>0</v>
      </c>
      <c r="E166" s="8">
        <v>0</v>
      </c>
      <c r="F166" s="8">
        <v>183</v>
      </c>
      <c r="G166" s="8">
        <v>2178.2600000000002</v>
      </c>
      <c r="H166" s="8">
        <v>30105.73</v>
      </c>
      <c r="I166" s="8">
        <v>32680.89</v>
      </c>
      <c r="J166" s="8">
        <v>816</v>
      </c>
      <c r="K166" s="8">
        <v>183</v>
      </c>
      <c r="L166" s="8">
        <v>3208.66</v>
      </c>
      <c r="M166" s="8">
        <v>4.7</v>
      </c>
      <c r="N166" s="8">
        <v>5.5</v>
      </c>
      <c r="O166" s="8">
        <v>0</v>
      </c>
      <c r="P166" s="8">
        <v>0</v>
      </c>
      <c r="Q166" s="8" t="s">
        <v>1086</v>
      </c>
    </row>
    <row r="167" spans="1:17" x14ac:dyDescent="0.45">
      <c r="A167" s="8">
        <v>55.4</v>
      </c>
      <c r="B167" s="8">
        <v>95436.3</v>
      </c>
      <c r="C167" s="8">
        <v>635</v>
      </c>
      <c r="D167" s="8">
        <v>1</v>
      </c>
      <c r="E167" s="8">
        <v>1</v>
      </c>
      <c r="F167" s="8">
        <v>58</v>
      </c>
      <c r="G167" s="8">
        <v>2192.91</v>
      </c>
      <c r="H167" s="8">
        <v>30301.9</v>
      </c>
      <c r="I167" s="8">
        <v>48989.26</v>
      </c>
      <c r="J167" s="8">
        <v>2341</v>
      </c>
      <c r="K167" s="8">
        <v>58</v>
      </c>
      <c r="L167" s="8">
        <v>9296.5400000000009</v>
      </c>
      <c r="M167" s="8">
        <v>6.1</v>
      </c>
      <c r="N167" s="8">
        <v>2.5</v>
      </c>
      <c r="O167" s="8">
        <v>0</v>
      </c>
      <c r="P167" s="8">
        <v>0</v>
      </c>
      <c r="Q167" s="8" t="s">
        <v>1086</v>
      </c>
    </row>
    <row r="168" spans="1:17" x14ac:dyDescent="0.45">
      <c r="A168" s="8">
        <v>42.4</v>
      </c>
      <c r="B168" s="8">
        <v>67377.600000000006</v>
      </c>
      <c r="C168" s="8">
        <v>538</v>
      </c>
      <c r="D168" s="8">
        <v>0</v>
      </c>
      <c r="E168" s="8">
        <v>0</v>
      </c>
      <c r="F168" s="8">
        <v>273</v>
      </c>
      <c r="G168" s="8">
        <v>2195.67</v>
      </c>
      <c r="H168" s="8">
        <v>485.96</v>
      </c>
      <c r="I168" s="8">
        <v>41201.94</v>
      </c>
      <c r="J168" s="8">
        <v>4311</v>
      </c>
      <c r="K168" s="8">
        <v>273</v>
      </c>
      <c r="L168" s="8">
        <v>5654.67</v>
      </c>
      <c r="M168" s="8">
        <v>2</v>
      </c>
      <c r="N168" s="8">
        <v>8.5</v>
      </c>
      <c r="O168" s="8">
        <v>0</v>
      </c>
      <c r="P168" s="8">
        <v>0</v>
      </c>
      <c r="Q168" s="8" t="s">
        <v>1086</v>
      </c>
    </row>
    <row r="169" spans="1:17" x14ac:dyDescent="0.45">
      <c r="A169" s="8">
        <v>36.5</v>
      </c>
      <c r="B169" s="8">
        <v>65317.56</v>
      </c>
      <c r="C169" s="8">
        <v>793</v>
      </c>
      <c r="D169" s="8">
        <v>0</v>
      </c>
      <c r="E169" s="8">
        <v>0</v>
      </c>
      <c r="F169" s="8">
        <v>205</v>
      </c>
      <c r="G169" s="8">
        <v>2229.85</v>
      </c>
      <c r="H169" s="8">
        <v>39137.129999999997</v>
      </c>
      <c r="I169" s="8">
        <v>65317.56</v>
      </c>
      <c r="J169" s="8">
        <v>3020</v>
      </c>
      <c r="K169" s="8">
        <v>205</v>
      </c>
      <c r="L169" s="8">
        <v>8800.5</v>
      </c>
      <c r="M169" s="8">
        <v>3.4</v>
      </c>
      <c r="N169" s="8">
        <v>0.5</v>
      </c>
      <c r="O169" s="8">
        <v>0</v>
      </c>
      <c r="P169" s="8">
        <v>0</v>
      </c>
      <c r="Q169" s="8" t="s">
        <v>1086</v>
      </c>
    </row>
    <row r="170" spans="1:17" x14ac:dyDescent="0.45">
      <c r="A170" s="8">
        <v>35.4</v>
      </c>
      <c r="B170" s="8">
        <v>109952.35</v>
      </c>
      <c r="C170" s="8">
        <v>707</v>
      </c>
      <c r="D170" s="8">
        <v>1</v>
      </c>
      <c r="E170" s="8">
        <v>1</v>
      </c>
      <c r="F170" s="8">
        <v>27</v>
      </c>
      <c r="G170" s="8">
        <v>2280.44</v>
      </c>
      <c r="H170" s="8">
        <v>8135.1</v>
      </c>
      <c r="I170" s="8">
        <v>43551.6</v>
      </c>
      <c r="J170" s="8">
        <v>1805</v>
      </c>
      <c r="K170" s="8">
        <v>27</v>
      </c>
      <c r="L170" s="8">
        <v>4001.99</v>
      </c>
      <c r="M170" s="8">
        <v>5.3</v>
      </c>
      <c r="N170" s="8">
        <v>7.1</v>
      </c>
      <c r="O170" s="8">
        <v>0</v>
      </c>
      <c r="P170" s="8">
        <v>0</v>
      </c>
      <c r="Q170" s="8" t="s">
        <v>1086</v>
      </c>
    </row>
    <row r="171" spans="1:17" x14ac:dyDescent="0.45">
      <c r="A171" s="8">
        <v>57.7</v>
      </c>
      <c r="B171" s="8">
        <v>89149.96</v>
      </c>
      <c r="C171" s="8">
        <v>711</v>
      </c>
      <c r="D171" s="8">
        <v>1</v>
      </c>
      <c r="E171" s="8">
        <v>0</v>
      </c>
      <c r="F171" s="8">
        <v>189</v>
      </c>
      <c r="G171" s="8">
        <v>2306.7800000000002</v>
      </c>
      <c r="H171" s="8">
        <v>18837.71</v>
      </c>
      <c r="I171" s="8">
        <v>66009.490000000005</v>
      </c>
      <c r="J171" s="8">
        <v>1360</v>
      </c>
      <c r="K171" s="8">
        <v>189</v>
      </c>
      <c r="L171" s="8">
        <v>367.3</v>
      </c>
      <c r="M171" s="8">
        <v>5.4</v>
      </c>
      <c r="N171" s="8">
        <v>6.4</v>
      </c>
      <c r="O171" s="8">
        <v>0</v>
      </c>
      <c r="P171" s="8">
        <v>0</v>
      </c>
      <c r="Q171" s="8" t="s">
        <v>1086</v>
      </c>
    </row>
    <row r="172" spans="1:17" x14ac:dyDescent="0.45">
      <c r="A172" s="8">
        <v>57.8</v>
      </c>
      <c r="B172" s="8">
        <v>107859.85</v>
      </c>
      <c r="C172" s="8">
        <v>686</v>
      </c>
      <c r="D172" s="8">
        <v>1</v>
      </c>
      <c r="E172" s="8">
        <v>0</v>
      </c>
      <c r="F172" s="8">
        <v>94</v>
      </c>
      <c r="G172" s="8">
        <v>2308.62</v>
      </c>
      <c r="H172" s="8">
        <v>8613.75</v>
      </c>
      <c r="I172" s="8">
        <v>69527.16</v>
      </c>
      <c r="J172" s="8">
        <v>1106</v>
      </c>
      <c r="K172" s="8">
        <v>94</v>
      </c>
      <c r="L172" s="8">
        <v>9238.19</v>
      </c>
      <c r="M172" s="8">
        <v>0.5</v>
      </c>
      <c r="N172" s="8">
        <v>7.1</v>
      </c>
      <c r="O172" s="8">
        <v>0</v>
      </c>
      <c r="P172" s="8">
        <v>0</v>
      </c>
      <c r="Q172" s="8" t="s">
        <v>1086</v>
      </c>
    </row>
    <row r="173" spans="1:17" x14ac:dyDescent="0.45">
      <c r="A173" s="8">
        <v>34</v>
      </c>
      <c r="B173" s="8">
        <v>133703.44</v>
      </c>
      <c r="C173" s="8">
        <v>763</v>
      </c>
      <c r="D173" s="8">
        <v>0</v>
      </c>
      <c r="E173" s="8">
        <v>1</v>
      </c>
      <c r="F173" s="8">
        <v>238</v>
      </c>
      <c r="G173" s="8">
        <v>2354.84</v>
      </c>
      <c r="H173" s="8">
        <v>11620.13</v>
      </c>
      <c r="I173" s="8">
        <v>94777.99</v>
      </c>
      <c r="J173" s="8">
        <v>4442</v>
      </c>
      <c r="K173" s="8">
        <v>238</v>
      </c>
      <c r="L173" s="8">
        <v>3788.29</v>
      </c>
      <c r="M173" s="8">
        <v>7.2</v>
      </c>
      <c r="N173" s="8">
        <v>2.9</v>
      </c>
      <c r="O173" s="8">
        <v>0</v>
      </c>
      <c r="P173" s="8">
        <v>0</v>
      </c>
      <c r="Q173" s="8" t="s">
        <v>1086</v>
      </c>
    </row>
    <row r="174" spans="1:17" x14ac:dyDescent="0.45">
      <c r="A174" s="8">
        <v>50.1</v>
      </c>
      <c r="B174" s="8">
        <v>94117.87</v>
      </c>
      <c r="C174" s="8">
        <v>624</v>
      </c>
      <c r="D174" s="8">
        <v>0</v>
      </c>
      <c r="E174" s="8">
        <v>0</v>
      </c>
      <c r="F174" s="8">
        <v>9</v>
      </c>
      <c r="G174" s="8">
        <v>2390.9</v>
      </c>
      <c r="H174" s="8">
        <v>9213.31</v>
      </c>
      <c r="I174" s="8">
        <v>75667.81</v>
      </c>
      <c r="J174" s="8">
        <v>4999</v>
      </c>
      <c r="K174" s="8">
        <v>9</v>
      </c>
      <c r="L174" s="8">
        <v>7767.81</v>
      </c>
      <c r="M174" s="8">
        <v>9.1999999999999993</v>
      </c>
      <c r="N174" s="8">
        <v>4.9000000000000004</v>
      </c>
      <c r="O174" s="8">
        <v>0</v>
      </c>
      <c r="P174" s="8">
        <v>0</v>
      </c>
      <c r="Q174" s="8" t="s">
        <v>1086</v>
      </c>
    </row>
    <row r="175" spans="1:17" x14ac:dyDescent="0.45">
      <c r="A175" s="8">
        <v>69</v>
      </c>
      <c r="B175" s="8">
        <v>120434.81</v>
      </c>
      <c r="C175" s="8">
        <v>718</v>
      </c>
      <c r="D175" s="8">
        <v>1</v>
      </c>
      <c r="E175" s="8">
        <v>1</v>
      </c>
      <c r="F175" s="8">
        <v>90</v>
      </c>
      <c r="G175" s="8">
        <v>2410.27</v>
      </c>
      <c r="H175" s="8">
        <v>10226.94</v>
      </c>
      <c r="I175" s="8">
        <v>63295.22</v>
      </c>
      <c r="J175" s="8">
        <v>760</v>
      </c>
      <c r="K175" s="8">
        <v>90</v>
      </c>
      <c r="L175" s="8">
        <v>947.28</v>
      </c>
      <c r="M175" s="8">
        <v>3.5</v>
      </c>
      <c r="N175" s="8">
        <v>6.6</v>
      </c>
      <c r="O175" s="8">
        <v>0</v>
      </c>
      <c r="P175" s="8">
        <v>0</v>
      </c>
      <c r="Q175" s="8" t="s">
        <v>1086</v>
      </c>
    </row>
    <row r="176" spans="1:17" x14ac:dyDescent="0.45">
      <c r="A176" s="8">
        <v>61.9</v>
      </c>
      <c r="B176" s="8">
        <v>125075.82</v>
      </c>
      <c r="C176" s="8">
        <v>556</v>
      </c>
      <c r="D176" s="8">
        <v>1</v>
      </c>
      <c r="E176" s="8">
        <v>1</v>
      </c>
      <c r="F176" s="8">
        <v>80</v>
      </c>
      <c r="G176" s="8">
        <v>2424</v>
      </c>
      <c r="H176" s="8">
        <v>7623.53</v>
      </c>
      <c r="I176" s="8">
        <v>72090.31</v>
      </c>
      <c r="J176" s="8">
        <v>286</v>
      </c>
      <c r="K176" s="8">
        <v>80</v>
      </c>
      <c r="L176" s="8">
        <v>6936.04</v>
      </c>
      <c r="M176" s="8">
        <v>6</v>
      </c>
      <c r="N176" s="8">
        <v>1.1000000000000001</v>
      </c>
      <c r="O176" s="8">
        <v>0</v>
      </c>
      <c r="P176" s="8">
        <v>0</v>
      </c>
      <c r="Q176" s="8" t="s">
        <v>1086</v>
      </c>
    </row>
    <row r="177" spans="1:17" x14ac:dyDescent="0.45">
      <c r="A177" s="8">
        <v>27</v>
      </c>
      <c r="B177" s="8">
        <v>106964.88</v>
      </c>
      <c r="C177" s="8">
        <v>784</v>
      </c>
      <c r="D177" s="8">
        <v>0</v>
      </c>
      <c r="E177" s="8">
        <v>0</v>
      </c>
      <c r="F177" s="8">
        <v>196</v>
      </c>
      <c r="G177" s="8">
        <v>2429.9299999999998</v>
      </c>
      <c r="H177" s="8">
        <v>5752.92</v>
      </c>
      <c r="I177" s="8">
        <v>68367.960000000006</v>
      </c>
      <c r="J177" s="8">
        <v>307</v>
      </c>
      <c r="K177" s="8">
        <v>196</v>
      </c>
      <c r="L177" s="8">
        <v>8120.78</v>
      </c>
      <c r="M177" s="8">
        <v>3.1</v>
      </c>
      <c r="N177" s="8">
        <v>8.6999999999999993</v>
      </c>
      <c r="O177" s="8">
        <v>0</v>
      </c>
      <c r="P177" s="8">
        <v>0</v>
      </c>
      <c r="Q177" s="8" t="s">
        <v>1086</v>
      </c>
    </row>
    <row r="178" spans="1:17" x14ac:dyDescent="0.45">
      <c r="A178" s="8">
        <v>60.8</v>
      </c>
      <c r="B178" s="8">
        <v>83185.929999999993</v>
      </c>
      <c r="C178" s="8">
        <v>571</v>
      </c>
      <c r="D178" s="8">
        <v>0</v>
      </c>
      <c r="E178" s="8">
        <v>0</v>
      </c>
      <c r="F178" s="8">
        <v>188</v>
      </c>
      <c r="G178" s="8">
        <v>2456.7199999999998</v>
      </c>
      <c r="H178" s="8">
        <v>1125.75</v>
      </c>
      <c r="I178" s="8">
        <v>47654.94</v>
      </c>
      <c r="J178" s="8">
        <v>3989</v>
      </c>
      <c r="K178" s="8">
        <v>188</v>
      </c>
      <c r="L178" s="8">
        <v>3284.43</v>
      </c>
      <c r="M178" s="8">
        <v>3.5</v>
      </c>
      <c r="N178" s="8">
        <v>2.4</v>
      </c>
      <c r="O178" s="8">
        <v>0</v>
      </c>
      <c r="P178" s="8">
        <v>0</v>
      </c>
      <c r="Q178" s="8" t="s">
        <v>1086</v>
      </c>
    </row>
    <row r="179" spans="1:17" x14ac:dyDescent="0.45">
      <c r="A179" s="8">
        <v>58.1</v>
      </c>
      <c r="B179" s="8">
        <v>92395.67</v>
      </c>
      <c r="C179" s="8">
        <v>592</v>
      </c>
      <c r="D179" s="8">
        <v>1</v>
      </c>
      <c r="E179" s="8">
        <v>0</v>
      </c>
      <c r="F179" s="8">
        <v>259</v>
      </c>
      <c r="G179" s="8">
        <v>2500.7800000000002</v>
      </c>
      <c r="H179" s="8">
        <v>6888.18</v>
      </c>
      <c r="I179" s="8">
        <v>65205.61</v>
      </c>
      <c r="J179" s="8">
        <v>4382</v>
      </c>
      <c r="K179" s="8">
        <v>259</v>
      </c>
      <c r="L179" s="8">
        <v>9893.51</v>
      </c>
      <c r="M179" s="8">
        <v>4.3</v>
      </c>
      <c r="N179" s="8">
        <v>4.5</v>
      </c>
      <c r="O179" s="8">
        <v>0</v>
      </c>
      <c r="P179" s="8">
        <v>0</v>
      </c>
      <c r="Q179" s="8" t="s">
        <v>1086</v>
      </c>
    </row>
    <row r="180" spans="1:17" x14ac:dyDescent="0.45">
      <c r="A180" s="8">
        <v>45.2</v>
      </c>
      <c r="B180" s="8">
        <v>140326.42000000001</v>
      </c>
      <c r="C180" s="8">
        <v>613</v>
      </c>
      <c r="D180" s="8">
        <v>0</v>
      </c>
      <c r="E180" s="8">
        <v>1</v>
      </c>
      <c r="F180" s="8">
        <v>46</v>
      </c>
      <c r="G180" s="8">
        <v>2528.59</v>
      </c>
      <c r="H180" s="8">
        <v>9989.3799999999992</v>
      </c>
      <c r="I180" s="8">
        <v>65547.539999999994</v>
      </c>
      <c r="J180" s="8">
        <v>2789</v>
      </c>
      <c r="K180" s="8">
        <v>46</v>
      </c>
      <c r="L180" s="8">
        <v>9363.0400000000009</v>
      </c>
      <c r="M180" s="8">
        <v>3.6</v>
      </c>
      <c r="N180" s="8">
        <v>3.7</v>
      </c>
      <c r="O180" s="8">
        <v>0</v>
      </c>
      <c r="P180" s="8">
        <v>0</v>
      </c>
      <c r="Q180" s="8" t="s">
        <v>1086</v>
      </c>
    </row>
    <row r="181" spans="1:17" x14ac:dyDescent="0.45">
      <c r="A181" s="8">
        <v>44.9</v>
      </c>
      <c r="B181" s="8">
        <v>98694.96</v>
      </c>
      <c r="C181" s="8">
        <v>640</v>
      </c>
      <c r="D181" s="8">
        <v>0</v>
      </c>
      <c r="E181" s="8">
        <v>0</v>
      </c>
      <c r="F181" s="8">
        <v>257</v>
      </c>
      <c r="G181" s="8">
        <v>2536.66</v>
      </c>
      <c r="H181" s="8">
        <v>4098.1400000000003</v>
      </c>
      <c r="I181" s="8">
        <v>74501.919999999998</v>
      </c>
      <c r="J181" s="8">
        <v>4422</v>
      </c>
      <c r="K181" s="8">
        <v>257</v>
      </c>
      <c r="L181" s="8">
        <v>7078.28</v>
      </c>
      <c r="M181" s="8">
        <v>6.7</v>
      </c>
      <c r="N181" s="8">
        <v>3.9</v>
      </c>
      <c r="O181" s="8">
        <v>0</v>
      </c>
      <c r="P181" s="8">
        <v>0</v>
      </c>
      <c r="Q181" s="8" t="s">
        <v>1086</v>
      </c>
    </row>
    <row r="182" spans="1:17" x14ac:dyDescent="0.45">
      <c r="A182" s="8">
        <v>38.4</v>
      </c>
      <c r="B182" s="8">
        <v>87495.66</v>
      </c>
      <c r="C182" s="8">
        <v>735</v>
      </c>
      <c r="D182" s="8">
        <v>1</v>
      </c>
      <c r="E182" s="8">
        <v>1</v>
      </c>
      <c r="F182" s="8">
        <v>16</v>
      </c>
      <c r="G182" s="8">
        <v>2569.86</v>
      </c>
      <c r="H182" s="8">
        <v>15921.75</v>
      </c>
      <c r="I182" s="8">
        <v>59758.22</v>
      </c>
      <c r="J182" s="8">
        <v>1068</v>
      </c>
      <c r="K182" s="8">
        <v>16</v>
      </c>
      <c r="L182" s="8">
        <v>9611.57</v>
      </c>
      <c r="M182" s="8">
        <v>3.6</v>
      </c>
      <c r="N182" s="8">
        <v>3.1</v>
      </c>
      <c r="O182" s="8">
        <v>0</v>
      </c>
      <c r="P182" s="8">
        <v>0</v>
      </c>
      <c r="Q182" s="8" t="s">
        <v>1086</v>
      </c>
    </row>
    <row r="183" spans="1:17" x14ac:dyDescent="0.45">
      <c r="A183" s="8">
        <v>51.4</v>
      </c>
      <c r="B183" s="8">
        <v>107656.18</v>
      </c>
      <c r="C183" s="8">
        <v>608</v>
      </c>
      <c r="D183" s="8">
        <v>0</v>
      </c>
      <c r="E183" s="8">
        <v>1</v>
      </c>
      <c r="F183" s="8">
        <v>111</v>
      </c>
      <c r="G183" s="8">
        <v>2635.17</v>
      </c>
      <c r="H183" s="8">
        <v>1669.93</v>
      </c>
      <c r="I183" s="8">
        <v>70422.45</v>
      </c>
      <c r="J183" s="8">
        <v>1891</v>
      </c>
      <c r="K183" s="8">
        <v>111</v>
      </c>
      <c r="L183" s="8">
        <v>6951.33</v>
      </c>
      <c r="M183" s="8">
        <v>4.7</v>
      </c>
      <c r="N183" s="8">
        <v>3.3</v>
      </c>
      <c r="O183" s="8">
        <v>0</v>
      </c>
      <c r="P183" s="8">
        <v>0</v>
      </c>
      <c r="Q183" s="8" t="s">
        <v>1086</v>
      </c>
    </row>
    <row r="184" spans="1:17" x14ac:dyDescent="0.45">
      <c r="A184" s="8">
        <v>38.1</v>
      </c>
      <c r="B184" s="8">
        <v>74407.899999999994</v>
      </c>
      <c r="C184" s="8">
        <v>794</v>
      </c>
      <c r="D184" s="8">
        <v>1</v>
      </c>
      <c r="E184" s="8">
        <v>1</v>
      </c>
      <c r="F184" s="8">
        <v>208</v>
      </c>
      <c r="G184" s="8">
        <v>2698.07</v>
      </c>
      <c r="H184" s="8">
        <v>103452.39</v>
      </c>
      <c r="I184" s="8">
        <v>46793.58</v>
      </c>
      <c r="J184" s="8">
        <v>3092</v>
      </c>
      <c r="K184" s="8">
        <v>208</v>
      </c>
      <c r="L184" s="8">
        <v>3621.04</v>
      </c>
      <c r="M184" s="8">
        <v>5.2</v>
      </c>
      <c r="N184" s="8">
        <v>6</v>
      </c>
      <c r="O184" s="8">
        <v>0</v>
      </c>
      <c r="P184" s="8">
        <v>0</v>
      </c>
      <c r="Q184" s="8" t="s">
        <v>1086</v>
      </c>
    </row>
    <row r="185" spans="1:17" x14ac:dyDescent="0.45">
      <c r="A185" s="8">
        <v>41.1</v>
      </c>
      <c r="B185" s="8">
        <v>95582.25</v>
      </c>
      <c r="C185" s="8">
        <v>707</v>
      </c>
      <c r="D185" s="8">
        <v>0</v>
      </c>
      <c r="E185" s="8">
        <v>0</v>
      </c>
      <c r="F185" s="8">
        <v>122</v>
      </c>
      <c r="G185" s="8">
        <v>2709.56</v>
      </c>
      <c r="H185" s="8">
        <v>20725.07</v>
      </c>
      <c r="I185" s="8">
        <v>69243.45</v>
      </c>
      <c r="J185" s="8">
        <v>4251</v>
      </c>
      <c r="K185" s="8">
        <v>122</v>
      </c>
      <c r="L185" s="8">
        <v>9774.4599999999991</v>
      </c>
      <c r="M185" s="8">
        <v>3.6</v>
      </c>
      <c r="N185" s="8">
        <v>10</v>
      </c>
      <c r="O185" s="8">
        <v>0</v>
      </c>
      <c r="P185" s="8">
        <v>0</v>
      </c>
      <c r="Q185" s="8" t="s">
        <v>1086</v>
      </c>
    </row>
    <row r="186" spans="1:17" x14ac:dyDescent="0.45">
      <c r="A186" s="8">
        <v>42.4</v>
      </c>
      <c r="B186" s="8">
        <v>98113.67</v>
      </c>
      <c r="C186" s="8">
        <v>750</v>
      </c>
      <c r="D186" s="8">
        <v>0</v>
      </c>
      <c r="E186" s="8">
        <v>1</v>
      </c>
      <c r="F186" s="8">
        <v>69</v>
      </c>
      <c r="G186" s="8">
        <v>2823.72</v>
      </c>
      <c r="H186" s="8">
        <v>7481.19</v>
      </c>
      <c r="I186" s="8">
        <v>47991.53</v>
      </c>
      <c r="J186" s="8">
        <v>526</v>
      </c>
      <c r="K186" s="8">
        <v>69</v>
      </c>
      <c r="L186" s="8">
        <v>9358.7999999999993</v>
      </c>
      <c r="M186" s="8">
        <v>3.8</v>
      </c>
      <c r="N186" s="8">
        <v>4.0999999999999996</v>
      </c>
      <c r="O186" s="8">
        <v>0</v>
      </c>
      <c r="P186" s="8">
        <v>0</v>
      </c>
      <c r="Q186" s="8" t="s">
        <v>1086</v>
      </c>
    </row>
    <row r="187" spans="1:17" x14ac:dyDescent="0.45">
      <c r="A187" s="8">
        <v>48.4</v>
      </c>
      <c r="B187" s="8">
        <v>108410.94</v>
      </c>
      <c r="C187" s="8">
        <v>706</v>
      </c>
      <c r="D187" s="8">
        <v>1</v>
      </c>
      <c r="E187" s="8">
        <v>0</v>
      </c>
      <c r="F187" s="8">
        <v>125</v>
      </c>
      <c r="G187" s="8">
        <v>2828.79</v>
      </c>
      <c r="H187" s="8">
        <v>5298.29</v>
      </c>
      <c r="I187" s="8">
        <v>73976.570000000007</v>
      </c>
      <c r="J187" s="8">
        <v>4048</v>
      </c>
      <c r="K187" s="8">
        <v>125</v>
      </c>
      <c r="L187" s="8">
        <v>7779.03</v>
      </c>
      <c r="M187" s="8">
        <v>5.5</v>
      </c>
      <c r="N187" s="8">
        <v>6.4</v>
      </c>
      <c r="O187" s="8">
        <v>0</v>
      </c>
      <c r="P187" s="8">
        <v>0</v>
      </c>
      <c r="Q187" s="8" t="s">
        <v>1086</v>
      </c>
    </row>
    <row r="188" spans="1:17" x14ac:dyDescent="0.45">
      <c r="A188" s="8">
        <v>39.4</v>
      </c>
      <c r="B188" s="8">
        <v>87747.07</v>
      </c>
      <c r="C188" s="8">
        <v>480</v>
      </c>
      <c r="D188" s="8">
        <v>1</v>
      </c>
      <c r="E188" s="8">
        <v>0</v>
      </c>
      <c r="F188" s="8">
        <v>45</v>
      </c>
      <c r="G188" s="8">
        <v>2844.82</v>
      </c>
      <c r="H188" s="8">
        <v>33412.03</v>
      </c>
      <c r="I188" s="8">
        <v>61017.75</v>
      </c>
      <c r="J188" s="8">
        <v>4920</v>
      </c>
      <c r="K188" s="8">
        <v>45</v>
      </c>
      <c r="L188" s="8">
        <v>5130.71</v>
      </c>
      <c r="M188" s="8">
        <v>0.5</v>
      </c>
      <c r="N188" s="8">
        <v>9</v>
      </c>
      <c r="O188" s="8">
        <v>0</v>
      </c>
      <c r="P188" s="8">
        <v>0</v>
      </c>
      <c r="Q188" s="8" t="s">
        <v>1086</v>
      </c>
    </row>
    <row r="189" spans="1:17" x14ac:dyDescent="0.45">
      <c r="A189" s="8">
        <v>62.2</v>
      </c>
      <c r="B189" s="8">
        <v>81450.45</v>
      </c>
      <c r="C189" s="8">
        <v>562</v>
      </c>
      <c r="D189" s="8">
        <v>1</v>
      </c>
      <c r="E189" s="8">
        <v>0</v>
      </c>
      <c r="F189" s="8">
        <v>233</v>
      </c>
      <c r="G189" s="8">
        <v>2850.24</v>
      </c>
      <c r="H189" s="8">
        <v>10002.84</v>
      </c>
      <c r="I189" s="8">
        <v>56392.17</v>
      </c>
      <c r="J189" s="8">
        <v>4273</v>
      </c>
      <c r="K189" s="8">
        <v>233</v>
      </c>
      <c r="L189" s="8">
        <v>3166.89</v>
      </c>
      <c r="M189" s="8">
        <v>2.9</v>
      </c>
      <c r="N189" s="8">
        <v>3.9</v>
      </c>
      <c r="O189" s="8">
        <v>0</v>
      </c>
      <c r="P189" s="8">
        <v>0</v>
      </c>
      <c r="Q189" s="8" t="s">
        <v>1086</v>
      </c>
    </row>
    <row r="190" spans="1:17" x14ac:dyDescent="0.45">
      <c r="A190" s="8">
        <v>65.099999999999994</v>
      </c>
      <c r="B190" s="8">
        <v>102761.1</v>
      </c>
      <c r="C190" s="8">
        <v>712</v>
      </c>
      <c r="D190" s="8">
        <v>0</v>
      </c>
      <c r="E190" s="8">
        <v>0</v>
      </c>
      <c r="F190" s="8">
        <v>65</v>
      </c>
      <c r="G190" s="8">
        <v>2874.01</v>
      </c>
      <c r="H190" s="8">
        <v>18581.919999999998</v>
      </c>
      <c r="I190" s="8">
        <v>85238.43</v>
      </c>
      <c r="J190" s="8">
        <v>907</v>
      </c>
      <c r="K190" s="8">
        <v>65</v>
      </c>
      <c r="L190" s="8">
        <v>8825.8799999999992</v>
      </c>
      <c r="M190" s="8">
        <v>2.7</v>
      </c>
      <c r="N190" s="8">
        <v>3.8</v>
      </c>
      <c r="O190" s="8">
        <v>0</v>
      </c>
      <c r="P190" s="8">
        <v>0</v>
      </c>
      <c r="Q190" s="8" t="s">
        <v>1086</v>
      </c>
    </row>
    <row r="191" spans="1:17" x14ac:dyDescent="0.45">
      <c r="A191" s="8">
        <v>90</v>
      </c>
      <c r="B191" s="8">
        <v>68093.679999999993</v>
      </c>
      <c r="C191" s="8">
        <v>684</v>
      </c>
      <c r="D191" s="8">
        <v>0</v>
      </c>
      <c r="E191" s="8">
        <v>1</v>
      </c>
      <c r="F191" s="8">
        <v>106</v>
      </c>
      <c r="G191" s="8">
        <v>2897.61</v>
      </c>
      <c r="H191" s="8">
        <v>2858.53</v>
      </c>
      <c r="I191" s="8">
        <v>37223.339999999997</v>
      </c>
      <c r="J191" s="8">
        <v>1851</v>
      </c>
      <c r="K191" s="8">
        <v>106</v>
      </c>
      <c r="L191" s="8">
        <v>6622.17</v>
      </c>
      <c r="M191" s="8">
        <v>2.6</v>
      </c>
      <c r="N191" s="8">
        <v>7</v>
      </c>
      <c r="O191" s="8">
        <v>0</v>
      </c>
      <c r="P191" s="8">
        <v>0</v>
      </c>
      <c r="Q191" s="8" t="s">
        <v>1086</v>
      </c>
    </row>
    <row r="192" spans="1:17" x14ac:dyDescent="0.45">
      <c r="A192" s="8">
        <v>36.700000000000003</v>
      </c>
      <c r="B192" s="8">
        <v>50058.19</v>
      </c>
      <c r="C192" s="8">
        <v>789</v>
      </c>
      <c r="D192" s="8">
        <v>0</v>
      </c>
      <c r="E192" s="8">
        <v>1</v>
      </c>
      <c r="F192" s="8">
        <v>237</v>
      </c>
      <c r="G192" s="8">
        <v>2937.02</v>
      </c>
      <c r="H192" s="8">
        <v>10750.87</v>
      </c>
      <c r="I192" s="8">
        <v>33082.58</v>
      </c>
      <c r="J192" s="8">
        <v>3715</v>
      </c>
      <c r="K192" s="8">
        <v>237</v>
      </c>
      <c r="L192" s="8">
        <v>1477.47</v>
      </c>
      <c r="M192" s="8">
        <v>3.7</v>
      </c>
      <c r="N192" s="8">
        <v>1</v>
      </c>
      <c r="O192" s="8">
        <v>0</v>
      </c>
      <c r="P192" s="8">
        <v>0</v>
      </c>
      <c r="Q192" s="8" t="s">
        <v>1086</v>
      </c>
    </row>
    <row r="193" spans="1:17" x14ac:dyDescent="0.45">
      <c r="A193" s="8">
        <v>62.4</v>
      </c>
      <c r="B193" s="8">
        <v>107735.85</v>
      </c>
      <c r="C193" s="8">
        <v>618</v>
      </c>
      <c r="D193" s="8">
        <v>1</v>
      </c>
      <c r="E193" s="8">
        <v>0</v>
      </c>
      <c r="F193" s="8">
        <v>135</v>
      </c>
      <c r="G193" s="8">
        <v>2955.38</v>
      </c>
      <c r="H193" s="8">
        <v>2905.54</v>
      </c>
      <c r="I193" s="8">
        <v>63871.8</v>
      </c>
      <c r="J193" s="8">
        <v>3178</v>
      </c>
      <c r="K193" s="8">
        <v>135</v>
      </c>
      <c r="L193" s="8">
        <v>8008.63</v>
      </c>
      <c r="M193" s="8">
        <v>7.2</v>
      </c>
      <c r="N193" s="8">
        <v>2.5</v>
      </c>
      <c r="O193" s="8">
        <v>0</v>
      </c>
      <c r="P193" s="8">
        <v>0</v>
      </c>
      <c r="Q193" s="8" t="s">
        <v>1086</v>
      </c>
    </row>
    <row r="194" spans="1:17" x14ac:dyDescent="0.45">
      <c r="A194" s="8">
        <v>61.3</v>
      </c>
      <c r="B194" s="8">
        <v>74657.22</v>
      </c>
      <c r="C194" s="8">
        <v>801</v>
      </c>
      <c r="D194" s="8">
        <v>0</v>
      </c>
      <c r="E194" s="8">
        <v>0</v>
      </c>
      <c r="F194" s="8">
        <v>281</v>
      </c>
      <c r="G194" s="8">
        <v>3010.02</v>
      </c>
      <c r="H194" s="8">
        <v>3076</v>
      </c>
      <c r="I194" s="8">
        <v>53840.77</v>
      </c>
      <c r="J194" s="8">
        <v>3651</v>
      </c>
      <c r="K194" s="8">
        <v>281</v>
      </c>
      <c r="L194" s="8">
        <v>3780.1</v>
      </c>
      <c r="M194" s="8">
        <v>4.2</v>
      </c>
      <c r="N194" s="8">
        <v>5.8</v>
      </c>
      <c r="O194" s="8">
        <v>0</v>
      </c>
      <c r="P194" s="8">
        <v>0</v>
      </c>
      <c r="Q194" s="8" t="s">
        <v>1086</v>
      </c>
    </row>
    <row r="195" spans="1:17" x14ac:dyDescent="0.45">
      <c r="A195" s="8">
        <v>43.2</v>
      </c>
      <c r="B195" s="8">
        <v>71207.98</v>
      </c>
      <c r="C195" s="8">
        <v>600</v>
      </c>
      <c r="D195" s="8">
        <v>1</v>
      </c>
      <c r="E195" s="8">
        <v>1</v>
      </c>
      <c r="F195" s="8">
        <v>258</v>
      </c>
      <c r="G195" s="8">
        <v>3053.37</v>
      </c>
      <c r="H195" s="8">
        <v>8434.68</v>
      </c>
      <c r="I195" s="8">
        <v>48049.8</v>
      </c>
      <c r="J195" s="8">
        <v>476</v>
      </c>
      <c r="K195" s="8">
        <v>258</v>
      </c>
      <c r="L195" s="8">
        <v>604.21</v>
      </c>
      <c r="M195" s="8">
        <v>3.4</v>
      </c>
      <c r="N195" s="8">
        <v>4.4000000000000004</v>
      </c>
      <c r="O195" s="8">
        <v>0</v>
      </c>
      <c r="P195" s="8">
        <v>0</v>
      </c>
      <c r="Q195" s="8" t="s">
        <v>1086</v>
      </c>
    </row>
    <row r="196" spans="1:17" x14ac:dyDescent="0.45">
      <c r="A196" s="8">
        <v>48.3</v>
      </c>
      <c r="B196" s="8">
        <v>95834.18</v>
      </c>
      <c r="C196" s="8">
        <v>478</v>
      </c>
      <c r="D196" s="8">
        <v>1</v>
      </c>
      <c r="E196" s="8">
        <v>1</v>
      </c>
      <c r="F196" s="8">
        <v>85</v>
      </c>
      <c r="G196" s="8">
        <v>3102.67</v>
      </c>
      <c r="H196" s="8">
        <v>2999.12</v>
      </c>
      <c r="I196" s="8">
        <v>83882.19</v>
      </c>
      <c r="J196" s="8">
        <v>4226</v>
      </c>
      <c r="K196" s="8">
        <v>85</v>
      </c>
      <c r="L196" s="8">
        <v>4549.68</v>
      </c>
      <c r="M196" s="8">
        <v>3.8</v>
      </c>
      <c r="N196" s="8">
        <v>2.8</v>
      </c>
      <c r="O196" s="8">
        <v>0</v>
      </c>
      <c r="P196" s="8">
        <v>0</v>
      </c>
      <c r="Q196" s="8" t="s">
        <v>1086</v>
      </c>
    </row>
    <row r="197" spans="1:17" x14ac:dyDescent="0.45">
      <c r="A197" s="8">
        <v>32</v>
      </c>
      <c r="B197" s="8">
        <v>97661.97</v>
      </c>
      <c r="C197" s="8">
        <v>656</v>
      </c>
      <c r="D197" s="8">
        <v>0</v>
      </c>
      <c r="E197" s="8">
        <v>1</v>
      </c>
      <c r="F197" s="8">
        <v>268</v>
      </c>
      <c r="G197" s="8">
        <v>3110.98</v>
      </c>
      <c r="H197" s="8">
        <v>5670</v>
      </c>
      <c r="I197" s="8">
        <v>74307.63</v>
      </c>
      <c r="J197" s="8">
        <v>4106</v>
      </c>
      <c r="K197" s="8">
        <v>268</v>
      </c>
      <c r="L197" s="8">
        <v>6001.05</v>
      </c>
      <c r="M197" s="8">
        <v>4.9000000000000004</v>
      </c>
      <c r="N197" s="8">
        <v>3.5</v>
      </c>
      <c r="O197" s="8">
        <v>0</v>
      </c>
      <c r="P197" s="8">
        <v>0</v>
      </c>
      <c r="Q197" s="8" t="s">
        <v>1086</v>
      </c>
    </row>
    <row r="198" spans="1:17" x14ac:dyDescent="0.45">
      <c r="A198" s="8">
        <v>64.5</v>
      </c>
      <c r="B198" s="8">
        <v>98762.86</v>
      </c>
      <c r="C198" s="8">
        <v>684</v>
      </c>
      <c r="D198" s="8">
        <v>0</v>
      </c>
      <c r="E198" s="8">
        <v>0</v>
      </c>
      <c r="F198" s="8">
        <v>186</v>
      </c>
      <c r="G198" s="8">
        <v>3122.09</v>
      </c>
      <c r="H198" s="8">
        <v>35748.79</v>
      </c>
      <c r="I198" s="8">
        <v>53442.11</v>
      </c>
      <c r="J198" s="8">
        <v>4330</v>
      </c>
      <c r="K198" s="8">
        <v>186</v>
      </c>
      <c r="L198" s="8">
        <v>3925.76</v>
      </c>
      <c r="M198" s="8">
        <v>8.3000000000000007</v>
      </c>
      <c r="N198" s="8">
        <v>0.5</v>
      </c>
      <c r="O198" s="8">
        <v>0</v>
      </c>
      <c r="P198" s="8">
        <v>0</v>
      </c>
      <c r="Q198" s="8" t="s">
        <v>1086</v>
      </c>
    </row>
    <row r="199" spans="1:17" x14ac:dyDescent="0.45">
      <c r="A199" s="8">
        <v>61.5</v>
      </c>
      <c r="B199" s="8">
        <v>76185.78</v>
      </c>
      <c r="C199" s="8">
        <v>480</v>
      </c>
      <c r="D199" s="8">
        <v>0</v>
      </c>
      <c r="E199" s="8">
        <v>0</v>
      </c>
      <c r="F199" s="8">
        <v>169</v>
      </c>
      <c r="G199" s="8">
        <v>3170.57</v>
      </c>
      <c r="H199" s="8">
        <v>7028.8</v>
      </c>
      <c r="I199" s="8">
        <v>60128.45</v>
      </c>
      <c r="J199" s="8">
        <v>4458</v>
      </c>
      <c r="K199" s="8">
        <v>169</v>
      </c>
      <c r="L199" s="8">
        <v>8864.82</v>
      </c>
      <c r="M199" s="8">
        <v>4.5999999999999996</v>
      </c>
      <c r="N199" s="8">
        <v>5.8</v>
      </c>
      <c r="O199" s="8">
        <v>0</v>
      </c>
      <c r="P199" s="8">
        <v>0</v>
      </c>
      <c r="Q199" s="8" t="s">
        <v>1086</v>
      </c>
    </row>
    <row r="200" spans="1:17" x14ac:dyDescent="0.45">
      <c r="A200" s="8">
        <v>43.1</v>
      </c>
      <c r="B200" s="8">
        <v>73878.100000000006</v>
      </c>
      <c r="C200" s="8">
        <v>720</v>
      </c>
      <c r="D200" s="8">
        <v>0</v>
      </c>
      <c r="E200" s="8">
        <v>1</v>
      </c>
      <c r="F200" s="8">
        <v>10</v>
      </c>
      <c r="G200" s="8">
        <v>3183.1</v>
      </c>
      <c r="H200" s="8">
        <v>9591.44</v>
      </c>
      <c r="I200" s="8">
        <v>35409.01</v>
      </c>
      <c r="J200" s="8">
        <v>1597</v>
      </c>
      <c r="K200" s="8">
        <v>10</v>
      </c>
      <c r="L200" s="8">
        <v>3229.38</v>
      </c>
      <c r="M200" s="8">
        <v>1.5</v>
      </c>
      <c r="N200" s="8">
        <v>4.7</v>
      </c>
      <c r="O200" s="8">
        <v>0</v>
      </c>
      <c r="P200" s="8">
        <v>0</v>
      </c>
      <c r="Q200" s="8" t="s">
        <v>1086</v>
      </c>
    </row>
    <row r="201" spans="1:17" x14ac:dyDescent="0.45">
      <c r="A201" s="8">
        <v>32</v>
      </c>
      <c r="B201" s="8">
        <v>61962.61</v>
      </c>
      <c r="C201" s="8">
        <v>748</v>
      </c>
      <c r="D201" s="8">
        <v>1</v>
      </c>
      <c r="E201" s="8">
        <v>1</v>
      </c>
      <c r="F201" s="8">
        <v>1</v>
      </c>
      <c r="G201" s="8">
        <v>3193.25</v>
      </c>
      <c r="H201" s="8">
        <v>794.74</v>
      </c>
      <c r="I201" s="8">
        <v>49479.3</v>
      </c>
      <c r="J201" s="8">
        <v>3410</v>
      </c>
      <c r="K201" s="8">
        <v>1</v>
      </c>
      <c r="L201" s="8">
        <v>4484.96</v>
      </c>
      <c r="M201" s="8">
        <v>5.7</v>
      </c>
      <c r="N201" s="8">
        <v>1.5</v>
      </c>
      <c r="O201" s="8">
        <v>0</v>
      </c>
      <c r="P201" s="8">
        <v>0</v>
      </c>
      <c r="Q201" s="8" t="s">
        <v>1086</v>
      </c>
    </row>
    <row r="202" spans="1:17" x14ac:dyDescent="0.45">
      <c r="A202" s="8">
        <v>46</v>
      </c>
      <c r="B202" s="8">
        <v>114009.81</v>
      </c>
      <c r="C202" s="8">
        <v>646</v>
      </c>
      <c r="D202" s="8">
        <v>0</v>
      </c>
      <c r="E202" s="8">
        <v>0</v>
      </c>
      <c r="F202" s="8">
        <v>166</v>
      </c>
      <c r="G202" s="8">
        <v>3203.47</v>
      </c>
      <c r="H202" s="8">
        <v>8462.92</v>
      </c>
      <c r="I202" s="8">
        <v>76778.81</v>
      </c>
      <c r="J202" s="8">
        <v>1216</v>
      </c>
      <c r="K202" s="8">
        <v>166</v>
      </c>
      <c r="L202" s="8">
        <v>6431.31</v>
      </c>
      <c r="M202" s="8">
        <v>4.9000000000000004</v>
      </c>
      <c r="N202" s="8">
        <v>8.3000000000000007</v>
      </c>
      <c r="O202" s="8">
        <v>0</v>
      </c>
      <c r="P202" s="8">
        <v>0</v>
      </c>
      <c r="Q202" s="8" t="s">
        <v>1086</v>
      </c>
    </row>
    <row r="203" spans="1:17" x14ac:dyDescent="0.45">
      <c r="A203" s="8">
        <v>60.3</v>
      </c>
      <c r="B203" s="8">
        <v>116370.86</v>
      </c>
      <c r="C203" s="8">
        <v>686</v>
      </c>
      <c r="D203" s="8">
        <v>1</v>
      </c>
      <c r="E203" s="8">
        <v>0</v>
      </c>
      <c r="F203" s="8">
        <v>31</v>
      </c>
      <c r="G203" s="8">
        <v>3250.83</v>
      </c>
      <c r="H203" s="8">
        <v>7738.4</v>
      </c>
      <c r="I203" s="8">
        <v>95904.23</v>
      </c>
      <c r="J203" s="8">
        <v>2866</v>
      </c>
      <c r="K203" s="8">
        <v>31</v>
      </c>
      <c r="L203" s="8">
        <v>9117.27</v>
      </c>
      <c r="M203" s="8">
        <v>8.5</v>
      </c>
      <c r="N203" s="8">
        <v>2.6</v>
      </c>
      <c r="O203" s="8">
        <v>0</v>
      </c>
      <c r="P203" s="8">
        <v>0</v>
      </c>
      <c r="Q203" s="8" t="s">
        <v>1086</v>
      </c>
    </row>
    <row r="204" spans="1:17" x14ac:dyDescent="0.45">
      <c r="A204" s="8">
        <v>60.3</v>
      </c>
      <c r="B204" s="8">
        <v>62916.42</v>
      </c>
      <c r="C204" s="8">
        <v>547</v>
      </c>
      <c r="D204" s="8">
        <v>0</v>
      </c>
      <c r="E204" s="8">
        <v>0</v>
      </c>
      <c r="F204" s="8">
        <v>87</v>
      </c>
      <c r="G204" s="8">
        <v>3256.16</v>
      </c>
      <c r="H204" s="8">
        <v>3833.12</v>
      </c>
      <c r="I204" s="8">
        <v>41987.59</v>
      </c>
      <c r="J204" s="8">
        <v>587</v>
      </c>
      <c r="K204" s="8">
        <v>87</v>
      </c>
      <c r="L204" s="8">
        <v>342.9</v>
      </c>
      <c r="M204" s="8">
        <v>5.8</v>
      </c>
      <c r="N204" s="8">
        <v>6.6</v>
      </c>
      <c r="O204" s="8">
        <v>0</v>
      </c>
      <c r="P204" s="8">
        <v>0</v>
      </c>
      <c r="Q204" s="8" t="s">
        <v>1086</v>
      </c>
    </row>
    <row r="205" spans="1:17" x14ac:dyDescent="0.45">
      <c r="A205" s="8">
        <v>46.7</v>
      </c>
      <c r="B205" s="8">
        <v>114149.43</v>
      </c>
      <c r="C205" s="8">
        <v>748</v>
      </c>
      <c r="D205" s="8">
        <v>0</v>
      </c>
      <c r="E205" s="8">
        <v>1</v>
      </c>
      <c r="F205" s="8">
        <v>240</v>
      </c>
      <c r="G205" s="8">
        <v>3354.81</v>
      </c>
      <c r="H205" s="8">
        <v>3567.39</v>
      </c>
      <c r="I205" s="8">
        <v>71112.09</v>
      </c>
      <c r="J205" s="8">
        <v>4077</v>
      </c>
      <c r="K205" s="8">
        <v>240</v>
      </c>
      <c r="L205" s="8">
        <v>3408.76</v>
      </c>
      <c r="M205" s="8">
        <v>6.5</v>
      </c>
      <c r="N205" s="8">
        <v>5.0999999999999996</v>
      </c>
      <c r="O205" s="8">
        <v>0</v>
      </c>
      <c r="P205" s="8">
        <v>0</v>
      </c>
      <c r="Q205" s="8" t="s">
        <v>1086</v>
      </c>
    </row>
    <row r="206" spans="1:17" x14ac:dyDescent="0.45">
      <c r="A206" s="8">
        <v>27.8</v>
      </c>
      <c r="B206" s="8">
        <v>128884.49</v>
      </c>
      <c r="C206" s="8">
        <v>776</v>
      </c>
      <c r="D206" s="8">
        <v>1</v>
      </c>
      <c r="E206" s="8">
        <v>0</v>
      </c>
      <c r="F206" s="8">
        <v>103</v>
      </c>
      <c r="G206" s="8">
        <v>3386.26</v>
      </c>
      <c r="H206" s="8">
        <v>11591.21</v>
      </c>
      <c r="I206" s="8">
        <v>82019.19</v>
      </c>
      <c r="J206" s="8">
        <v>3231</v>
      </c>
      <c r="K206" s="8">
        <v>103</v>
      </c>
      <c r="L206" s="8">
        <v>7651.14</v>
      </c>
      <c r="M206" s="8">
        <v>1.1000000000000001</v>
      </c>
      <c r="N206" s="8">
        <v>2.1</v>
      </c>
      <c r="O206" s="8">
        <v>0</v>
      </c>
      <c r="P206" s="8">
        <v>0</v>
      </c>
      <c r="Q206" s="8" t="s">
        <v>1086</v>
      </c>
    </row>
    <row r="207" spans="1:17" x14ac:dyDescent="0.45">
      <c r="A207" s="8">
        <v>25.8</v>
      </c>
      <c r="B207" s="8">
        <v>72767.839999999997</v>
      </c>
      <c r="C207" s="8">
        <v>696</v>
      </c>
      <c r="D207" s="8">
        <v>1</v>
      </c>
      <c r="E207" s="8">
        <v>1</v>
      </c>
      <c r="F207" s="8">
        <v>258</v>
      </c>
      <c r="G207" s="8">
        <v>3405.54</v>
      </c>
      <c r="H207" s="8">
        <v>12759.91</v>
      </c>
      <c r="I207" s="8">
        <v>72767.839999999997</v>
      </c>
      <c r="J207" s="8">
        <v>3331</v>
      </c>
      <c r="K207" s="8">
        <v>258</v>
      </c>
      <c r="L207" s="8">
        <v>9128.75</v>
      </c>
      <c r="M207" s="8">
        <v>6.4</v>
      </c>
      <c r="N207" s="8">
        <v>7</v>
      </c>
      <c r="O207" s="8">
        <v>0</v>
      </c>
      <c r="P207" s="8">
        <v>0</v>
      </c>
      <c r="Q207" s="8" t="s">
        <v>1086</v>
      </c>
    </row>
    <row r="208" spans="1:17" x14ac:dyDescent="0.45">
      <c r="A208" s="8">
        <v>58.4</v>
      </c>
      <c r="B208" s="8">
        <v>56200.59</v>
      </c>
      <c r="C208" s="8">
        <v>675</v>
      </c>
      <c r="D208" s="8">
        <v>1</v>
      </c>
      <c r="E208" s="8">
        <v>1</v>
      </c>
      <c r="F208" s="8">
        <v>63</v>
      </c>
      <c r="G208" s="8">
        <v>3459.34</v>
      </c>
      <c r="H208" s="8">
        <v>16597.349999999999</v>
      </c>
      <c r="I208" s="8">
        <v>35585.75</v>
      </c>
      <c r="J208" s="8">
        <v>1690</v>
      </c>
      <c r="K208" s="8">
        <v>63</v>
      </c>
      <c r="L208" s="8">
        <v>1850.36</v>
      </c>
      <c r="M208" s="8">
        <v>3.1</v>
      </c>
      <c r="N208" s="8">
        <v>7.6</v>
      </c>
      <c r="O208" s="8">
        <v>0</v>
      </c>
      <c r="P208" s="8">
        <v>0</v>
      </c>
      <c r="Q208" s="8" t="s">
        <v>1086</v>
      </c>
    </row>
    <row r="209" spans="1:17" x14ac:dyDescent="0.45">
      <c r="A209" s="8">
        <v>61.8</v>
      </c>
      <c r="B209" s="8">
        <v>118915.01</v>
      </c>
      <c r="C209" s="8">
        <v>486</v>
      </c>
      <c r="D209" s="8">
        <v>1</v>
      </c>
      <c r="E209" s="8">
        <v>0</v>
      </c>
      <c r="F209" s="8">
        <v>214</v>
      </c>
      <c r="G209" s="8">
        <v>3490.97</v>
      </c>
      <c r="H209" s="8">
        <v>26251.24</v>
      </c>
      <c r="I209" s="8">
        <v>82420.61</v>
      </c>
      <c r="J209" s="8">
        <v>2290</v>
      </c>
      <c r="K209" s="8">
        <v>214</v>
      </c>
      <c r="L209" s="8">
        <v>8525.7800000000007</v>
      </c>
      <c r="M209" s="8">
        <v>5</v>
      </c>
      <c r="N209" s="8">
        <v>2.2999999999999998</v>
      </c>
      <c r="O209" s="8">
        <v>0</v>
      </c>
      <c r="P209" s="8">
        <v>0</v>
      </c>
      <c r="Q209" s="8" t="s">
        <v>1086</v>
      </c>
    </row>
    <row r="210" spans="1:17" x14ac:dyDescent="0.45">
      <c r="A210" s="8">
        <v>37.1</v>
      </c>
      <c r="B210" s="8">
        <v>72223.31</v>
      </c>
      <c r="C210" s="8">
        <v>676</v>
      </c>
      <c r="D210" s="8">
        <v>0</v>
      </c>
      <c r="E210" s="8">
        <v>0</v>
      </c>
      <c r="F210" s="8">
        <v>292</v>
      </c>
      <c r="G210" s="8">
        <v>3492.06</v>
      </c>
      <c r="H210" s="8">
        <v>42338.96</v>
      </c>
      <c r="I210" s="8">
        <v>48344.83</v>
      </c>
      <c r="J210" s="8">
        <v>3879</v>
      </c>
      <c r="K210" s="8">
        <v>292</v>
      </c>
      <c r="L210" s="8">
        <v>2483.69</v>
      </c>
      <c r="M210" s="8">
        <v>4</v>
      </c>
      <c r="N210" s="8">
        <v>1.1000000000000001</v>
      </c>
      <c r="O210" s="8">
        <v>0</v>
      </c>
      <c r="P210" s="8">
        <v>0</v>
      </c>
      <c r="Q210" s="8" t="s">
        <v>1086</v>
      </c>
    </row>
    <row r="211" spans="1:17" x14ac:dyDescent="0.45">
      <c r="A211" s="8">
        <v>42.5</v>
      </c>
      <c r="B211" s="8">
        <v>109535.69</v>
      </c>
      <c r="C211" s="8">
        <v>672</v>
      </c>
      <c r="D211" s="8">
        <v>0</v>
      </c>
      <c r="E211" s="8">
        <v>1</v>
      </c>
      <c r="F211" s="8">
        <v>70</v>
      </c>
      <c r="G211" s="8">
        <v>3543.2</v>
      </c>
      <c r="H211" s="8">
        <v>10143.1</v>
      </c>
      <c r="I211" s="8">
        <v>82675.399999999994</v>
      </c>
      <c r="J211" s="8">
        <v>3446</v>
      </c>
      <c r="K211" s="8">
        <v>70</v>
      </c>
      <c r="L211" s="8">
        <v>3273.62</v>
      </c>
      <c r="M211" s="8">
        <v>1.7</v>
      </c>
      <c r="N211" s="8">
        <v>0.5</v>
      </c>
      <c r="O211" s="8">
        <v>0</v>
      </c>
      <c r="P211" s="8">
        <v>0</v>
      </c>
      <c r="Q211" s="8" t="s">
        <v>1086</v>
      </c>
    </row>
    <row r="212" spans="1:17" x14ac:dyDescent="0.45">
      <c r="A212" s="8">
        <v>45.9</v>
      </c>
      <c r="B212" s="8">
        <v>132508.26999999999</v>
      </c>
      <c r="C212" s="8">
        <v>602</v>
      </c>
      <c r="D212" s="8">
        <v>0</v>
      </c>
      <c r="E212" s="8">
        <v>0</v>
      </c>
      <c r="F212" s="8">
        <v>168</v>
      </c>
      <c r="G212" s="8">
        <v>3619.33</v>
      </c>
      <c r="H212" s="8">
        <v>12350.91</v>
      </c>
      <c r="I212" s="8">
        <v>84238.88</v>
      </c>
      <c r="J212" s="8">
        <v>178</v>
      </c>
      <c r="K212" s="8">
        <v>168</v>
      </c>
      <c r="L212" s="8">
        <v>9135.31</v>
      </c>
      <c r="M212" s="8">
        <v>2.8</v>
      </c>
      <c r="N212" s="8">
        <v>1.9</v>
      </c>
      <c r="O212" s="8">
        <v>0</v>
      </c>
      <c r="P212" s="8">
        <v>0</v>
      </c>
      <c r="Q212" s="8" t="s">
        <v>1086</v>
      </c>
    </row>
    <row r="213" spans="1:17" x14ac:dyDescent="0.45">
      <c r="A213" s="8">
        <v>52.3</v>
      </c>
      <c r="B213" s="8">
        <v>85422.55</v>
      </c>
      <c r="C213" s="8">
        <v>702</v>
      </c>
      <c r="D213" s="8">
        <v>0</v>
      </c>
      <c r="E213" s="8">
        <v>0</v>
      </c>
      <c r="F213" s="8">
        <v>179</v>
      </c>
      <c r="G213" s="8">
        <v>3621.15</v>
      </c>
      <c r="H213" s="8">
        <v>2388.9699999999998</v>
      </c>
      <c r="I213" s="8">
        <v>58369.55</v>
      </c>
      <c r="J213" s="8">
        <v>1329</v>
      </c>
      <c r="K213" s="8">
        <v>179</v>
      </c>
      <c r="L213" s="8">
        <v>6731.82</v>
      </c>
      <c r="M213" s="8">
        <v>7.2</v>
      </c>
      <c r="N213" s="8">
        <v>7.4</v>
      </c>
      <c r="O213" s="8">
        <v>0</v>
      </c>
      <c r="P213" s="8">
        <v>0</v>
      </c>
      <c r="Q213" s="8" t="s">
        <v>1086</v>
      </c>
    </row>
    <row r="214" spans="1:17" x14ac:dyDescent="0.45">
      <c r="A214" s="8">
        <v>58.6</v>
      </c>
      <c r="B214" s="8">
        <v>61444.36</v>
      </c>
      <c r="C214" s="8">
        <v>558</v>
      </c>
      <c r="D214" s="8">
        <v>1</v>
      </c>
      <c r="E214" s="8">
        <v>1</v>
      </c>
      <c r="F214" s="8">
        <v>231</v>
      </c>
      <c r="G214" s="8">
        <v>3697.15</v>
      </c>
      <c r="H214" s="8">
        <v>15460.91</v>
      </c>
      <c r="I214" s="8">
        <v>39412.57</v>
      </c>
      <c r="J214" s="8">
        <v>2453</v>
      </c>
      <c r="K214" s="8">
        <v>231</v>
      </c>
      <c r="L214" s="8">
        <v>7632.3</v>
      </c>
      <c r="M214" s="8">
        <v>2.9</v>
      </c>
      <c r="N214" s="8">
        <v>1.5</v>
      </c>
      <c r="O214" s="8">
        <v>0</v>
      </c>
      <c r="P214" s="8">
        <v>0</v>
      </c>
      <c r="Q214" s="8" t="s">
        <v>1086</v>
      </c>
    </row>
    <row r="215" spans="1:17" x14ac:dyDescent="0.45">
      <c r="A215" s="8">
        <v>49.8</v>
      </c>
      <c r="B215" s="8">
        <v>82516.47</v>
      </c>
      <c r="C215" s="8">
        <v>636</v>
      </c>
      <c r="D215" s="8">
        <v>0</v>
      </c>
      <c r="E215" s="8">
        <v>0</v>
      </c>
      <c r="F215" s="8">
        <v>13</v>
      </c>
      <c r="G215" s="8">
        <v>3702.32</v>
      </c>
      <c r="H215" s="8">
        <v>17380.759999999998</v>
      </c>
      <c r="I215" s="8">
        <v>44244.32</v>
      </c>
      <c r="J215" s="8">
        <v>3394</v>
      </c>
      <c r="K215" s="8">
        <v>13</v>
      </c>
      <c r="L215" s="8">
        <v>7215.66</v>
      </c>
      <c r="M215" s="8">
        <v>2.5</v>
      </c>
      <c r="N215" s="8">
        <v>2.2000000000000002</v>
      </c>
      <c r="O215" s="8">
        <v>0</v>
      </c>
      <c r="P215" s="8">
        <v>0</v>
      </c>
      <c r="Q215" s="8" t="s">
        <v>1086</v>
      </c>
    </row>
    <row r="216" spans="1:17" x14ac:dyDescent="0.45">
      <c r="A216" s="8">
        <v>35.9</v>
      </c>
      <c r="B216" s="8">
        <v>74701.03</v>
      </c>
      <c r="C216" s="8">
        <v>526</v>
      </c>
      <c r="D216" s="8">
        <v>0</v>
      </c>
      <c r="E216" s="8">
        <v>1</v>
      </c>
      <c r="F216" s="8">
        <v>275</v>
      </c>
      <c r="G216" s="8">
        <v>3704.87</v>
      </c>
      <c r="H216" s="8">
        <v>2537.15</v>
      </c>
      <c r="I216" s="8">
        <v>58568.01</v>
      </c>
      <c r="J216" s="8">
        <v>4908</v>
      </c>
      <c r="K216" s="8">
        <v>275</v>
      </c>
      <c r="L216" s="8">
        <v>701.05</v>
      </c>
      <c r="M216" s="8">
        <v>1.9</v>
      </c>
      <c r="N216" s="8">
        <v>2.4</v>
      </c>
      <c r="O216" s="8">
        <v>0</v>
      </c>
      <c r="P216" s="8">
        <v>0</v>
      </c>
      <c r="Q216" s="8" t="s">
        <v>1086</v>
      </c>
    </row>
    <row r="217" spans="1:17" x14ac:dyDescent="0.45">
      <c r="A217" s="8">
        <v>49.9</v>
      </c>
      <c r="B217" s="8">
        <v>111882.09</v>
      </c>
      <c r="C217" s="8">
        <v>515</v>
      </c>
      <c r="D217" s="8">
        <v>1</v>
      </c>
      <c r="E217" s="8">
        <v>1</v>
      </c>
      <c r="F217" s="8">
        <v>269</v>
      </c>
      <c r="G217" s="8">
        <v>3711.71</v>
      </c>
      <c r="H217" s="8">
        <v>5519.42</v>
      </c>
      <c r="I217" s="8">
        <v>82347.98</v>
      </c>
      <c r="J217" s="8">
        <v>4919</v>
      </c>
      <c r="K217" s="8">
        <v>269</v>
      </c>
      <c r="L217" s="8">
        <v>7405.63</v>
      </c>
      <c r="M217" s="8">
        <v>3.8</v>
      </c>
      <c r="N217" s="8">
        <v>6.6</v>
      </c>
      <c r="O217" s="8">
        <v>0</v>
      </c>
      <c r="P217" s="8">
        <v>0</v>
      </c>
      <c r="Q217" s="8" t="s">
        <v>1086</v>
      </c>
    </row>
    <row r="218" spans="1:17" x14ac:dyDescent="0.45">
      <c r="A218" s="8">
        <v>74.5</v>
      </c>
      <c r="B218" s="8">
        <v>72866.570000000007</v>
      </c>
      <c r="C218" s="8">
        <v>717</v>
      </c>
      <c r="D218" s="8">
        <v>0</v>
      </c>
      <c r="E218" s="8">
        <v>1</v>
      </c>
      <c r="F218" s="8">
        <v>266</v>
      </c>
      <c r="G218" s="8">
        <v>3770.42</v>
      </c>
      <c r="H218" s="8">
        <v>12268.93</v>
      </c>
      <c r="I218" s="8">
        <v>56482.91</v>
      </c>
      <c r="J218" s="8">
        <v>2188</v>
      </c>
      <c r="K218" s="8">
        <v>266</v>
      </c>
      <c r="L218" s="8">
        <v>2759.61</v>
      </c>
      <c r="M218" s="8">
        <v>2.4</v>
      </c>
      <c r="N218" s="8">
        <v>4.7</v>
      </c>
      <c r="O218" s="8">
        <v>0</v>
      </c>
      <c r="P218" s="8">
        <v>0</v>
      </c>
      <c r="Q218" s="8" t="s">
        <v>1086</v>
      </c>
    </row>
    <row r="219" spans="1:17" x14ac:dyDescent="0.45">
      <c r="A219" s="8">
        <v>70.5</v>
      </c>
      <c r="B219" s="8">
        <v>89409.9</v>
      </c>
      <c r="C219" s="8">
        <v>480</v>
      </c>
      <c r="D219" s="8">
        <v>1</v>
      </c>
      <c r="E219" s="8">
        <v>1</v>
      </c>
      <c r="F219" s="8">
        <v>33</v>
      </c>
      <c r="G219" s="8">
        <v>3814.84</v>
      </c>
      <c r="H219" s="8">
        <v>86696.67</v>
      </c>
      <c r="I219" s="8">
        <v>62867.77</v>
      </c>
      <c r="J219" s="8">
        <v>3786</v>
      </c>
      <c r="K219" s="8">
        <v>33</v>
      </c>
      <c r="L219" s="8">
        <v>1143.49</v>
      </c>
      <c r="M219" s="8">
        <v>1</v>
      </c>
      <c r="N219" s="8">
        <v>3.2</v>
      </c>
      <c r="O219" s="8">
        <v>0</v>
      </c>
      <c r="P219" s="8">
        <v>0</v>
      </c>
      <c r="Q219" s="8" t="s">
        <v>1086</v>
      </c>
    </row>
    <row r="220" spans="1:17" x14ac:dyDescent="0.45">
      <c r="A220" s="8">
        <v>70.3</v>
      </c>
      <c r="B220" s="8">
        <v>78614.009999999995</v>
      </c>
      <c r="C220" s="8">
        <v>520</v>
      </c>
      <c r="D220" s="8">
        <v>0</v>
      </c>
      <c r="E220" s="8">
        <v>1</v>
      </c>
      <c r="F220" s="8">
        <v>207</v>
      </c>
      <c r="G220" s="8">
        <v>3987.11</v>
      </c>
      <c r="H220" s="8">
        <v>63375.95</v>
      </c>
      <c r="I220" s="8">
        <v>58972.13</v>
      </c>
      <c r="J220" s="8">
        <v>1979</v>
      </c>
      <c r="K220" s="8">
        <v>207</v>
      </c>
      <c r="L220" s="8">
        <v>7386.13</v>
      </c>
      <c r="M220" s="8">
        <v>2.7</v>
      </c>
      <c r="N220" s="8">
        <v>7.1</v>
      </c>
      <c r="O220" s="8">
        <v>0</v>
      </c>
      <c r="P220" s="8">
        <v>0</v>
      </c>
      <c r="Q220" s="8" t="s">
        <v>1086</v>
      </c>
    </row>
    <row r="221" spans="1:17" x14ac:dyDescent="0.45">
      <c r="A221" s="8">
        <v>63.8</v>
      </c>
      <c r="B221" s="8">
        <v>94601.11</v>
      </c>
      <c r="C221" s="8">
        <v>685</v>
      </c>
      <c r="D221" s="8">
        <v>1</v>
      </c>
      <c r="E221" s="8">
        <v>0</v>
      </c>
      <c r="F221" s="8">
        <v>259</v>
      </c>
      <c r="G221" s="8">
        <v>4028.74</v>
      </c>
      <c r="H221" s="8">
        <v>1837.66</v>
      </c>
      <c r="I221" s="8">
        <v>48527.96</v>
      </c>
      <c r="J221" s="8">
        <v>1775</v>
      </c>
      <c r="K221" s="8">
        <v>259</v>
      </c>
      <c r="L221" s="8">
        <v>4362.99</v>
      </c>
      <c r="M221" s="8">
        <v>5</v>
      </c>
      <c r="N221" s="8">
        <v>10.1</v>
      </c>
      <c r="O221" s="8">
        <v>0</v>
      </c>
      <c r="P221" s="8">
        <v>0</v>
      </c>
      <c r="Q221" s="8" t="s">
        <v>1086</v>
      </c>
    </row>
    <row r="222" spans="1:17" x14ac:dyDescent="0.45">
      <c r="A222" s="8">
        <v>49.1</v>
      </c>
      <c r="B222" s="8">
        <v>104156.9</v>
      </c>
      <c r="C222" s="8">
        <v>762</v>
      </c>
      <c r="D222" s="8">
        <v>0</v>
      </c>
      <c r="E222" s="8">
        <v>0</v>
      </c>
      <c r="F222" s="8">
        <v>265</v>
      </c>
      <c r="G222" s="8">
        <v>4032.13</v>
      </c>
      <c r="H222" s="8">
        <v>9394.4699999999993</v>
      </c>
      <c r="I222" s="8">
        <v>77807.66</v>
      </c>
      <c r="J222" s="8">
        <v>4593</v>
      </c>
      <c r="K222" s="8">
        <v>265</v>
      </c>
      <c r="L222" s="8">
        <v>5556.05</v>
      </c>
      <c r="M222" s="8">
        <v>2.4</v>
      </c>
      <c r="N222" s="8">
        <v>6.4</v>
      </c>
      <c r="O222" s="8">
        <v>0</v>
      </c>
      <c r="P222" s="8">
        <v>0</v>
      </c>
      <c r="Q222" s="8" t="s">
        <v>1086</v>
      </c>
    </row>
    <row r="223" spans="1:17" x14ac:dyDescent="0.45">
      <c r="A223" s="8">
        <v>42.1</v>
      </c>
      <c r="B223" s="8">
        <v>91328.23</v>
      </c>
      <c r="C223" s="8">
        <v>541</v>
      </c>
      <c r="D223" s="8">
        <v>1</v>
      </c>
      <c r="E223" s="8">
        <v>1</v>
      </c>
      <c r="F223" s="8">
        <v>205</v>
      </c>
      <c r="G223" s="8">
        <v>4034.99</v>
      </c>
      <c r="H223" s="8">
        <v>9650.73</v>
      </c>
      <c r="I223" s="8">
        <v>73118.02</v>
      </c>
      <c r="J223" s="8">
        <v>2100</v>
      </c>
      <c r="K223" s="8">
        <v>205</v>
      </c>
      <c r="L223" s="8">
        <v>5822.83</v>
      </c>
      <c r="M223" s="8">
        <v>5.2</v>
      </c>
      <c r="N223" s="8">
        <v>1.7</v>
      </c>
      <c r="O223" s="8">
        <v>0</v>
      </c>
      <c r="P223" s="8">
        <v>0</v>
      </c>
      <c r="Q223" s="8" t="s">
        <v>1086</v>
      </c>
    </row>
    <row r="224" spans="1:17" x14ac:dyDescent="0.45">
      <c r="A224" s="8">
        <v>37.4</v>
      </c>
      <c r="B224" s="8">
        <v>122404.77</v>
      </c>
      <c r="C224" s="8">
        <v>730</v>
      </c>
      <c r="D224" s="8">
        <v>0</v>
      </c>
      <c r="E224" s="8">
        <v>1</v>
      </c>
      <c r="F224" s="8">
        <v>206</v>
      </c>
      <c r="G224" s="8">
        <v>4135.57</v>
      </c>
      <c r="H224" s="8">
        <v>17734.66</v>
      </c>
      <c r="I224" s="8">
        <v>66161.009999999995</v>
      </c>
      <c r="J224" s="8">
        <v>2224</v>
      </c>
      <c r="K224" s="8">
        <v>206</v>
      </c>
      <c r="L224" s="8">
        <v>5800.53</v>
      </c>
      <c r="M224" s="8">
        <v>6.8</v>
      </c>
      <c r="N224" s="8">
        <v>3.9</v>
      </c>
      <c r="O224" s="8">
        <v>0</v>
      </c>
      <c r="P224" s="8">
        <v>0</v>
      </c>
      <c r="Q224" s="8" t="s">
        <v>1086</v>
      </c>
    </row>
    <row r="225" spans="1:17" x14ac:dyDescent="0.45">
      <c r="A225" s="8">
        <v>56.1</v>
      </c>
      <c r="B225" s="8">
        <v>106505.91</v>
      </c>
      <c r="C225" s="8">
        <v>770</v>
      </c>
      <c r="D225" s="8">
        <v>1</v>
      </c>
      <c r="E225" s="8">
        <v>1</v>
      </c>
      <c r="F225" s="8">
        <v>59</v>
      </c>
      <c r="G225" s="8">
        <v>4137.84</v>
      </c>
      <c r="H225" s="8">
        <v>19112.11</v>
      </c>
      <c r="I225" s="8">
        <v>71836.28</v>
      </c>
      <c r="J225" s="8">
        <v>4435</v>
      </c>
      <c r="K225" s="8">
        <v>59</v>
      </c>
      <c r="L225" s="8">
        <v>8713.93</v>
      </c>
      <c r="M225" s="8">
        <v>4.2</v>
      </c>
      <c r="N225" s="8">
        <v>8.3000000000000007</v>
      </c>
      <c r="O225" s="8">
        <v>0</v>
      </c>
      <c r="P225" s="8">
        <v>0</v>
      </c>
      <c r="Q225" s="8" t="s">
        <v>1086</v>
      </c>
    </row>
    <row r="226" spans="1:17" x14ac:dyDescent="0.45">
      <c r="A226" s="8">
        <v>35</v>
      </c>
      <c r="B226" s="8">
        <v>116536.01</v>
      </c>
      <c r="C226" s="8">
        <v>725</v>
      </c>
      <c r="D226" s="8">
        <v>1</v>
      </c>
      <c r="E226" s="8">
        <v>0</v>
      </c>
      <c r="F226" s="8">
        <v>125</v>
      </c>
      <c r="G226" s="8">
        <v>4173.87</v>
      </c>
      <c r="H226" s="8">
        <v>2824.06</v>
      </c>
      <c r="I226" s="8">
        <v>73726.37</v>
      </c>
      <c r="J226" s="8">
        <v>2423</v>
      </c>
      <c r="K226" s="8">
        <v>125</v>
      </c>
      <c r="L226" s="8">
        <v>6158.75</v>
      </c>
      <c r="M226" s="8">
        <v>0.5</v>
      </c>
      <c r="N226" s="8">
        <v>3.6</v>
      </c>
      <c r="O226" s="8">
        <v>0</v>
      </c>
      <c r="P226" s="8">
        <v>0</v>
      </c>
      <c r="Q226" s="8" t="s">
        <v>1086</v>
      </c>
    </row>
    <row r="227" spans="1:17" x14ac:dyDescent="0.45">
      <c r="A227" s="8">
        <v>55.2</v>
      </c>
      <c r="B227" s="8">
        <v>80340.509999999995</v>
      </c>
      <c r="C227" s="8">
        <v>579</v>
      </c>
      <c r="D227" s="8">
        <v>0</v>
      </c>
      <c r="E227" s="8">
        <v>0</v>
      </c>
      <c r="F227" s="8">
        <v>31</v>
      </c>
      <c r="G227" s="8">
        <v>4353.59</v>
      </c>
      <c r="H227" s="8">
        <v>18298.89</v>
      </c>
      <c r="I227" s="8">
        <v>50693.79</v>
      </c>
      <c r="J227" s="8">
        <v>2989</v>
      </c>
      <c r="K227" s="8">
        <v>31</v>
      </c>
      <c r="L227" s="8">
        <v>9863.42</v>
      </c>
      <c r="M227" s="8">
        <v>2.6</v>
      </c>
      <c r="N227" s="8">
        <v>2.8</v>
      </c>
      <c r="O227" s="8">
        <v>0</v>
      </c>
      <c r="P227" s="8">
        <v>0</v>
      </c>
      <c r="Q227" s="8" t="s">
        <v>1086</v>
      </c>
    </row>
    <row r="228" spans="1:17" x14ac:dyDescent="0.45">
      <c r="A228" s="8">
        <v>69.599999999999994</v>
      </c>
      <c r="B228" s="8">
        <v>100917.31</v>
      </c>
      <c r="C228" s="8">
        <v>619</v>
      </c>
      <c r="D228" s="8">
        <v>1</v>
      </c>
      <c r="E228" s="8">
        <v>1</v>
      </c>
      <c r="F228" s="8">
        <v>247</v>
      </c>
      <c r="G228" s="8">
        <v>4459.95</v>
      </c>
      <c r="H228" s="8">
        <v>31941.7</v>
      </c>
      <c r="I228" s="8">
        <v>63676.99</v>
      </c>
      <c r="J228" s="8">
        <v>4979</v>
      </c>
      <c r="K228" s="8">
        <v>247</v>
      </c>
      <c r="L228" s="8">
        <v>7881.43</v>
      </c>
      <c r="M228" s="8">
        <v>5.4</v>
      </c>
      <c r="N228" s="8">
        <v>8.6999999999999993</v>
      </c>
      <c r="O228" s="8">
        <v>0</v>
      </c>
      <c r="P228" s="8">
        <v>0</v>
      </c>
      <c r="Q228" s="8" t="s">
        <v>1086</v>
      </c>
    </row>
    <row r="229" spans="1:17" x14ac:dyDescent="0.45">
      <c r="A229" s="8">
        <v>46</v>
      </c>
      <c r="B229" s="8">
        <v>83927.93</v>
      </c>
      <c r="C229" s="8">
        <v>643</v>
      </c>
      <c r="D229" s="8">
        <v>1</v>
      </c>
      <c r="E229" s="8">
        <v>1</v>
      </c>
      <c r="F229" s="8">
        <v>159</v>
      </c>
      <c r="G229" s="8">
        <v>4766.75</v>
      </c>
      <c r="H229" s="8">
        <v>2854.55</v>
      </c>
      <c r="I229" s="8">
        <v>67809.3</v>
      </c>
      <c r="J229" s="8">
        <v>2617</v>
      </c>
      <c r="K229" s="8">
        <v>159</v>
      </c>
      <c r="L229" s="8">
        <v>3190.34</v>
      </c>
      <c r="M229" s="8">
        <v>1.9</v>
      </c>
      <c r="N229" s="8">
        <v>2.7</v>
      </c>
      <c r="O229" s="8">
        <v>0</v>
      </c>
      <c r="P229" s="8">
        <v>0</v>
      </c>
      <c r="Q229" s="8" t="s">
        <v>1086</v>
      </c>
    </row>
    <row r="230" spans="1:17" x14ac:dyDescent="0.45">
      <c r="A230" s="8">
        <v>53.9</v>
      </c>
      <c r="B230" s="8">
        <v>106381.43</v>
      </c>
      <c r="C230" s="8">
        <v>656</v>
      </c>
      <c r="D230" s="8">
        <v>0</v>
      </c>
      <c r="E230" s="8">
        <v>0</v>
      </c>
      <c r="F230" s="8">
        <v>59</v>
      </c>
      <c r="G230" s="8">
        <v>4926.5</v>
      </c>
      <c r="H230" s="8">
        <v>7036.95</v>
      </c>
      <c r="I230" s="8">
        <v>83778.27</v>
      </c>
      <c r="J230" s="8">
        <v>2182</v>
      </c>
      <c r="K230" s="8">
        <v>59</v>
      </c>
      <c r="L230" s="8">
        <v>3422.28</v>
      </c>
      <c r="M230" s="8">
        <v>4.5999999999999996</v>
      </c>
      <c r="N230" s="8">
        <v>3.5</v>
      </c>
      <c r="O230" s="8">
        <v>0</v>
      </c>
      <c r="P230" s="8">
        <v>0</v>
      </c>
      <c r="Q230" s="8" t="s">
        <v>1086</v>
      </c>
    </row>
    <row r="231" spans="1:17" x14ac:dyDescent="0.45">
      <c r="A231" s="8">
        <v>46.5</v>
      </c>
      <c r="B231" s="8">
        <v>95748.02</v>
      </c>
      <c r="C231" s="8">
        <v>673</v>
      </c>
      <c r="D231" s="8">
        <v>1</v>
      </c>
      <c r="E231" s="8">
        <v>1</v>
      </c>
      <c r="F231" s="8">
        <v>48</v>
      </c>
      <c r="G231" s="8">
        <v>4971.96</v>
      </c>
      <c r="H231" s="8">
        <v>998.41</v>
      </c>
      <c r="I231" s="8">
        <v>77247.87</v>
      </c>
      <c r="J231" s="8">
        <v>2559</v>
      </c>
      <c r="K231" s="8">
        <v>48</v>
      </c>
      <c r="L231" s="8">
        <v>9284.07</v>
      </c>
      <c r="M231" s="8">
        <v>3.8</v>
      </c>
      <c r="N231" s="8">
        <v>2.7</v>
      </c>
      <c r="O231" s="8">
        <v>0</v>
      </c>
      <c r="P231" s="8">
        <v>0</v>
      </c>
      <c r="Q231" s="8" t="s">
        <v>1086</v>
      </c>
    </row>
    <row r="232" spans="1:17" x14ac:dyDescent="0.45">
      <c r="A232" s="8">
        <v>35.200000000000003</v>
      </c>
      <c r="B232" s="8">
        <v>128575.36</v>
      </c>
      <c r="C232" s="8">
        <v>541</v>
      </c>
      <c r="D232" s="8">
        <v>1</v>
      </c>
      <c r="E232" s="8">
        <v>1</v>
      </c>
      <c r="F232" s="8">
        <v>283</v>
      </c>
      <c r="G232" s="8">
        <v>5046.28</v>
      </c>
      <c r="H232" s="8">
        <v>25367.96</v>
      </c>
      <c r="I232" s="8">
        <v>70013.31</v>
      </c>
      <c r="J232" s="8">
        <v>3011</v>
      </c>
      <c r="K232" s="8">
        <v>283</v>
      </c>
      <c r="L232" s="8">
        <v>5333.44</v>
      </c>
      <c r="M232" s="8">
        <v>2.1</v>
      </c>
      <c r="N232" s="8">
        <v>4.7</v>
      </c>
      <c r="O232" s="8">
        <v>0</v>
      </c>
      <c r="P232" s="8">
        <v>0</v>
      </c>
      <c r="Q232" s="8" t="s">
        <v>1086</v>
      </c>
    </row>
    <row r="233" spans="1:17" x14ac:dyDescent="0.45">
      <c r="A233" s="8">
        <v>29</v>
      </c>
      <c r="B233" s="8">
        <v>92328.42</v>
      </c>
      <c r="C233" s="8">
        <v>526</v>
      </c>
      <c r="D233" s="8">
        <v>0</v>
      </c>
      <c r="E233" s="8">
        <v>0</v>
      </c>
      <c r="F233" s="8">
        <v>131</v>
      </c>
      <c r="G233" s="8">
        <v>5223.26</v>
      </c>
      <c r="H233" s="8">
        <v>83.92</v>
      </c>
      <c r="I233" s="8">
        <v>43658.23</v>
      </c>
      <c r="J233" s="8">
        <v>1384</v>
      </c>
      <c r="K233" s="8">
        <v>131</v>
      </c>
      <c r="L233" s="8">
        <v>9214.98</v>
      </c>
      <c r="M233" s="8">
        <v>5.3</v>
      </c>
      <c r="N233" s="8">
        <v>2.2000000000000002</v>
      </c>
      <c r="O233" s="8">
        <v>0</v>
      </c>
      <c r="P233" s="8">
        <v>0</v>
      </c>
      <c r="Q233" s="8" t="s">
        <v>1086</v>
      </c>
    </row>
    <row r="234" spans="1:17" x14ac:dyDescent="0.45">
      <c r="A234" s="8">
        <v>53.1</v>
      </c>
      <c r="B234" s="8">
        <v>42552.63</v>
      </c>
      <c r="C234" s="8">
        <v>664</v>
      </c>
      <c r="D234" s="8">
        <v>0</v>
      </c>
      <c r="E234" s="8">
        <v>1</v>
      </c>
      <c r="F234" s="8">
        <v>150</v>
      </c>
      <c r="G234" s="8">
        <v>5272.55</v>
      </c>
      <c r="H234" s="8">
        <v>10332.879999999999</v>
      </c>
      <c r="I234" s="8">
        <v>25852.84</v>
      </c>
      <c r="J234" s="8">
        <v>4833</v>
      </c>
      <c r="K234" s="8">
        <v>150</v>
      </c>
      <c r="L234" s="8">
        <v>6270.32</v>
      </c>
      <c r="M234" s="8">
        <v>2.5</v>
      </c>
      <c r="N234" s="8">
        <v>4</v>
      </c>
      <c r="O234" s="8">
        <v>0</v>
      </c>
      <c r="P234" s="8">
        <v>0</v>
      </c>
      <c r="Q234" s="8" t="s">
        <v>1086</v>
      </c>
    </row>
    <row r="235" spans="1:17" x14ac:dyDescent="0.45">
      <c r="A235" s="8">
        <v>32.9</v>
      </c>
      <c r="B235" s="8">
        <v>63353.53</v>
      </c>
      <c r="C235" s="8">
        <v>561</v>
      </c>
      <c r="D235" s="8">
        <v>1</v>
      </c>
      <c r="E235" s="8">
        <v>1</v>
      </c>
      <c r="F235" s="8">
        <v>150</v>
      </c>
      <c r="G235" s="8">
        <v>5384.36</v>
      </c>
      <c r="H235" s="8">
        <v>8764.89</v>
      </c>
      <c r="I235" s="8">
        <v>15000</v>
      </c>
      <c r="J235" s="8">
        <v>72</v>
      </c>
      <c r="K235" s="8">
        <v>150</v>
      </c>
      <c r="L235" s="8">
        <v>8548.86</v>
      </c>
      <c r="M235" s="8">
        <v>4.4000000000000004</v>
      </c>
      <c r="N235" s="8">
        <v>4.5999999999999996</v>
      </c>
      <c r="O235" s="8">
        <v>0</v>
      </c>
      <c r="P235" s="8">
        <v>0</v>
      </c>
      <c r="Q235" s="8" t="s">
        <v>1086</v>
      </c>
    </row>
    <row r="236" spans="1:17" x14ac:dyDescent="0.45">
      <c r="A236" s="8">
        <v>46.8</v>
      </c>
      <c r="B236" s="8">
        <v>94654.73</v>
      </c>
      <c r="C236" s="8">
        <v>803</v>
      </c>
      <c r="D236" s="8">
        <v>0</v>
      </c>
      <c r="E236" s="8">
        <v>1</v>
      </c>
      <c r="F236" s="8">
        <v>151</v>
      </c>
      <c r="G236" s="8">
        <v>5411.89</v>
      </c>
      <c r="H236" s="8">
        <v>21712.76</v>
      </c>
      <c r="I236" s="8">
        <v>77851.95</v>
      </c>
      <c r="J236" s="8">
        <v>1374</v>
      </c>
      <c r="K236" s="8">
        <v>151</v>
      </c>
      <c r="L236" s="8">
        <v>9149.43</v>
      </c>
      <c r="M236" s="8">
        <v>4.4000000000000004</v>
      </c>
      <c r="N236" s="8">
        <v>4.0999999999999996</v>
      </c>
      <c r="O236" s="8">
        <v>0</v>
      </c>
      <c r="P236" s="8">
        <v>0</v>
      </c>
      <c r="Q236" s="8" t="s">
        <v>1086</v>
      </c>
    </row>
    <row r="237" spans="1:17" x14ac:dyDescent="0.45">
      <c r="A237" s="8">
        <v>49.1</v>
      </c>
      <c r="B237" s="8">
        <v>108025.84</v>
      </c>
      <c r="C237" s="8">
        <v>688</v>
      </c>
      <c r="D237" s="8">
        <v>0</v>
      </c>
      <c r="E237" s="8">
        <v>0</v>
      </c>
      <c r="F237" s="8">
        <v>52</v>
      </c>
      <c r="G237" s="8">
        <v>5502.85</v>
      </c>
      <c r="H237" s="8">
        <v>32054.79</v>
      </c>
      <c r="I237" s="8">
        <v>89797.27</v>
      </c>
      <c r="J237" s="8">
        <v>2160</v>
      </c>
      <c r="K237" s="8">
        <v>52</v>
      </c>
      <c r="L237" s="8">
        <v>3844.07</v>
      </c>
      <c r="M237" s="8">
        <v>3.9</v>
      </c>
      <c r="N237" s="8">
        <v>0.9</v>
      </c>
      <c r="O237" s="8">
        <v>0</v>
      </c>
      <c r="P237" s="8">
        <v>0</v>
      </c>
      <c r="Q237" s="8" t="s">
        <v>1086</v>
      </c>
    </row>
    <row r="238" spans="1:17" x14ac:dyDescent="0.45">
      <c r="A238" s="8">
        <v>59.3</v>
      </c>
      <c r="B238" s="8">
        <v>121168.8</v>
      </c>
      <c r="C238" s="8">
        <v>627</v>
      </c>
      <c r="D238" s="8">
        <v>1</v>
      </c>
      <c r="E238" s="8">
        <v>1</v>
      </c>
      <c r="F238" s="8">
        <v>275</v>
      </c>
      <c r="G238" s="8">
        <v>5544.58</v>
      </c>
      <c r="H238" s="8">
        <v>14702.06</v>
      </c>
      <c r="I238" s="8">
        <v>88447.4</v>
      </c>
      <c r="J238" s="8">
        <v>138</v>
      </c>
      <c r="K238" s="8">
        <v>275</v>
      </c>
      <c r="L238" s="8">
        <v>6112.97</v>
      </c>
      <c r="M238" s="8">
        <v>1.9</v>
      </c>
      <c r="N238" s="8">
        <v>7.4</v>
      </c>
      <c r="O238" s="8">
        <v>0</v>
      </c>
      <c r="P238" s="8">
        <v>0</v>
      </c>
      <c r="Q238" s="8" t="s">
        <v>1086</v>
      </c>
    </row>
    <row r="239" spans="1:17" x14ac:dyDescent="0.45">
      <c r="A239" s="8">
        <v>73</v>
      </c>
      <c r="B239" s="8">
        <v>87638.01</v>
      </c>
      <c r="C239" s="8">
        <v>712</v>
      </c>
      <c r="D239" s="8">
        <v>0</v>
      </c>
      <c r="E239" s="8">
        <v>1</v>
      </c>
      <c r="F239" s="8">
        <v>282</v>
      </c>
      <c r="G239" s="8">
        <v>5844.48</v>
      </c>
      <c r="H239" s="8">
        <v>3699.1</v>
      </c>
      <c r="I239" s="8">
        <v>62087.12</v>
      </c>
      <c r="J239" s="8">
        <v>810</v>
      </c>
      <c r="K239" s="8">
        <v>282</v>
      </c>
      <c r="L239" s="8">
        <v>8391.32</v>
      </c>
      <c r="M239" s="8">
        <v>4.0999999999999996</v>
      </c>
      <c r="N239" s="8">
        <v>7.9</v>
      </c>
      <c r="O239" s="8">
        <v>0</v>
      </c>
      <c r="P239" s="8">
        <v>0</v>
      </c>
      <c r="Q239" s="8" t="s">
        <v>1086</v>
      </c>
    </row>
    <row r="240" spans="1:17" x14ac:dyDescent="0.45">
      <c r="A240" s="8">
        <v>55.1</v>
      </c>
      <c r="B240" s="8">
        <v>107538.42</v>
      </c>
      <c r="C240" s="8">
        <v>666</v>
      </c>
      <c r="D240" s="8">
        <v>0</v>
      </c>
      <c r="E240" s="8">
        <v>0</v>
      </c>
      <c r="F240" s="8">
        <v>46</v>
      </c>
      <c r="G240" s="8">
        <v>5880.71</v>
      </c>
      <c r="H240" s="8">
        <v>14663.21</v>
      </c>
      <c r="I240" s="8">
        <v>77487.78</v>
      </c>
      <c r="J240" s="8">
        <v>2903</v>
      </c>
      <c r="K240" s="8">
        <v>46</v>
      </c>
      <c r="L240" s="8">
        <v>1873.92</v>
      </c>
      <c r="M240" s="8">
        <v>2.5</v>
      </c>
      <c r="N240" s="8">
        <v>6.6</v>
      </c>
      <c r="O240" s="8">
        <v>0</v>
      </c>
      <c r="P240" s="8">
        <v>0</v>
      </c>
      <c r="Q240" s="8" t="s">
        <v>1086</v>
      </c>
    </row>
    <row r="241" spans="1:17" x14ac:dyDescent="0.45">
      <c r="A241" s="8">
        <v>51.7</v>
      </c>
      <c r="B241" s="8">
        <v>110434.29</v>
      </c>
      <c r="C241" s="8">
        <v>575</v>
      </c>
      <c r="D241" s="8">
        <v>0</v>
      </c>
      <c r="E241" s="8">
        <v>0</v>
      </c>
      <c r="F241" s="8">
        <v>264</v>
      </c>
      <c r="G241" s="8">
        <v>5907.51</v>
      </c>
      <c r="H241" s="8">
        <v>10970.28</v>
      </c>
      <c r="I241" s="8">
        <v>40038.79</v>
      </c>
      <c r="J241" s="8">
        <v>868</v>
      </c>
      <c r="K241" s="8">
        <v>264</v>
      </c>
      <c r="L241" s="8">
        <v>8879.7099999999991</v>
      </c>
      <c r="M241" s="8">
        <v>5.6</v>
      </c>
      <c r="N241" s="8">
        <v>1.5</v>
      </c>
      <c r="O241" s="8">
        <v>0</v>
      </c>
      <c r="P241" s="8">
        <v>0</v>
      </c>
      <c r="Q241" s="8" t="s">
        <v>1086</v>
      </c>
    </row>
    <row r="242" spans="1:17" x14ac:dyDescent="0.45">
      <c r="A242" s="8">
        <v>73.8</v>
      </c>
      <c r="B242" s="8">
        <v>86505.46</v>
      </c>
      <c r="C242" s="8">
        <v>619</v>
      </c>
      <c r="D242" s="8">
        <v>0</v>
      </c>
      <c r="E242" s="8">
        <v>1</v>
      </c>
      <c r="F242" s="8">
        <v>129</v>
      </c>
      <c r="G242" s="8">
        <v>5962.92</v>
      </c>
      <c r="H242" s="8">
        <v>13865.27</v>
      </c>
      <c r="I242" s="8">
        <v>43782.85</v>
      </c>
      <c r="J242" s="8">
        <v>3651</v>
      </c>
      <c r="K242" s="8">
        <v>129</v>
      </c>
      <c r="L242" s="8">
        <v>8112.76</v>
      </c>
      <c r="M242" s="8">
        <v>2.4</v>
      </c>
      <c r="N242" s="8">
        <v>1.5</v>
      </c>
      <c r="O242" s="8">
        <v>0</v>
      </c>
      <c r="P242" s="8">
        <v>0</v>
      </c>
      <c r="Q242" s="8" t="s">
        <v>1086</v>
      </c>
    </row>
    <row r="243" spans="1:17" x14ac:dyDescent="0.45">
      <c r="A243" s="8">
        <v>48.9</v>
      </c>
      <c r="B243" s="8">
        <v>92993.74</v>
      </c>
      <c r="C243" s="8">
        <v>786</v>
      </c>
      <c r="D243" s="8">
        <v>0</v>
      </c>
      <c r="E243" s="8">
        <v>0</v>
      </c>
      <c r="F243" s="8">
        <v>115</v>
      </c>
      <c r="G243" s="8">
        <v>6083.97</v>
      </c>
      <c r="H243" s="8">
        <v>13225.32</v>
      </c>
      <c r="I243" s="8">
        <v>84722.61</v>
      </c>
      <c r="J243" s="8">
        <v>2429</v>
      </c>
      <c r="K243" s="8">
        <v>115</v>
      </c>
      <c r="L243" s="8">
        <v>4817.07</v>
      </c>
      <c r="M243" s="8">
        <v>6.5</v>
      </c>
      <c r="N243" s="8">
        <v>8.5</v>
      </c>
      <c r="O243" s="8">
        <v>0</v>
      </c>
      <c r="P243" s="8">
        <v>0</v>
      </c>
      <c r="Q243" s="8" t="s">
        <v>1086</v>
      </c>
    </row>
    <row r="244" spans="1:17" x14ac:dyDescent="0.45">
      <c r="A244" s="8">
        <v>21.2</v>
      </c>
      <c r="B244" s="8">
        <v>78181.36</v>
      </c>
      <c r="C244" s="8">
        <v>574</v>
      </c>
      <c r="D244" s="8">
        <v>0</v>
      </c>
      <c r="E244" s="8">
        <v>0</v>
      </c>
      <c r="F244" s="8">
        <v>158</v>
      </c>
      <c r="G244" s="8">
        <v>6084.14</v>
      </c>
      <c r="H244" s="8">
        <v>3723.87</v>
      </c>
      <c r="I244" s="8">
        <v>67028.960000000006</v>
      </c>
      <c r="J244" s="8">
        <v>2054</v>
      </c>
      <c r="K244" s="8">
        <v>158</v>
      </c>
      <c r="L244" s="8">
        <v>5643.03</v>
      </c>
      <c r="M244" s="8">
        <v>2.9</v>
      </c>
      <c r="N244" s="8">
        <v>6.4</v>
      </c>
      <c r="O244" s="8">
        <v>0</v>
      </c>
      <c r="P244" s="8">
        <v>0</v>
      </c>
      <c r="Q244" s="8" t="s">
        <v>1086</v>
      </c>
    </row>
    <row r="245" spans="1:17" x14ac:dyDescent="0.45">
      <c r="A245" s="8">
        <v>32.1</v>
      </c>
      <c r="B245" s="8">
        <v>85898.63</v>
      </c>
      <c r="C245" s="8">
        <v>411</v>
      </c>
      <c r="D245" s="8">
        <v>0</v>
      </c>
      <c r="E245" s="8">
        <v>1</v>
      </c>
      <c r="F245" s="8">
        <v>91</v>
      </c>
      <c r="G245" s="8">
        <v>6425.08</v>
      </c>
      <c r="H245" s="8">
        <v>18254.09</v>
      </c>
      <c r="I245" s="8">
        <v>59414.74</v>
      </c>
      <c r="J245" s="8">
        <v>2919</v>
      </c>
      <c r="K245" s="8">
        <v>91</v>
      </c>
      <c r="L245" s="8">
        <v>7192.72</v>
      </c>
      <c r="M245" s="8">
        <v>6.7</v>
      </c>
      <c r="N245" s="8">
        <v>4.5</v>
      </c>
      <c r="O245" s="8">
        <v>0</v>
      </c>
      <c r="P245" s="8">
        <v>0</v>
      </c>
      <c r="Q245" s="8" t="s">
        <v>1086</v>
      </c>
    </row>
    <row r="246" spans="1:17" x14ac:dyDescent="0.45">
      <c r="A246" s="8">
        <v>46.4</v>
      </c>
      <c r="B246" s="8">
        <v>81254.64</v>
      </c>
      <c r="C246" s="8">
        <v>718</v>
      </c>
      <c r="D246" s="8">
        <v>0</v>
      </c>
      <c r="E246" s="8">
        <v>0</v>
      </c>
      <c r="F246" s="8">
        <v>275</v>
      </c>
      <c r="G246" s="8">
        <v>6558.21</v>
      </c>
      <c r="H246" s="8">
        <v>6726.97</v>
      </c>
      <c r="I246" s="8">
        <v>41958.97</v>
      </c>
      <c r="J246" s="8">
        <v>3838</v>
      </c>
      <c r="K246" s="8">
        <v>275</v>
      </c>
      <c r="L246" s="8">
        <v>1326.12</v>
      </c>
      <c r="M246" s="8">
        <v>1.9</v>
      </c>
      <c r="N246" s="8">
        <v>6.2</v>
      </c>
      <c r="O246" s="8">
        <v>0</v>
      </c>
      <c r="P246" s="8">
        <v>0</v>
      </c>
      <c r="Q246" s="8" t="s">
        <v>1086</v>
      </c>
    </row>
    <row r="247" spans="1:17" x14ac:dyDescent="0.45">
      <c r="A247" s="8">
        <v>43</v>
      </c>
      <c r="B247" s="8">
        <v>86981.17</v>
      </c>
      <c r="C247" s="8">
        <v>691</v>
      </c>
      <c r="D247" s="8">
        <v>0</v>
      </c>
      <c r="E247" s="8">
        <v>0</v>
      </c>
      <c r="F247" s="8">
        <v>223</v>
      </c>
      <c r="G247" s="8">
        <v>6668.19</v>
      </c>
      <c r="H247" s="8">
        <v>11339.86</v>
      </c>
      <c r="I247" s="8">
        <v>58232.74</v>
      </c>
      <c r="J247" s="8">
        <v>569</v>
      </c>
      <c r="K247" s="8">
        <v>223</v>
      </c>
      <c r="L247" s="8">
        <v>9221.27</v>
      </c>
      <c r="M247" s="8">
        <v>2.2999999999999998</v>
      </c>
      <c r="N247" s="8">
        <v>2</v>
      </c>
      <c r="O247" s="8">
        <v>0</v>
      </c>
      <c r="P247" s="8">
        <v>0</v>
      </c>
      <c r="Q247" s="8" t="s">
        <v>1086</v>
      </c>
    </row>
    <row r="248" spans="1:17" x14ac:dyDescent="0.45">
      <c r="A248" s="8">
        <v>46.3</v>
      </c>
      <c r="B248" s="8">
        <v>101084.67</v>
      </c>
      <c r="C248" s="8">
        <v>572</v>
      </c>
      <c r="D248" s="8">
        <v>0</v>
      </c>
      <c r="E248" s="8">
        <v>0</v>
      </c>
      <c r="F248" s="8">
        <v>146</v>
      </c>
      <c r="G248" s="8">
        <v>7358.66</v>
      </c>
      <c r="H248" s="8">
        <v>5716.47</v>
      </c>
      <c r="I248" s="8">
        <v>68173.06</v>
      </c>
      <c r="J248" s="8">
        <v>3339</v>
      </c>
      <c r="K248" s="8">
        <v>146</v>
      </c>
      <c r="L248" s="8">
        <v>8075.38</v>
      </c>
      <c r="M248" s="8">
        <v>0.6</v>
      </c>
      <c r="N248" s="8">
        <v>5.7</v>
      </c>
      <c r="O248" s="8">
        <v>0</v>
      </c>
      <c r="P248" s="8">
        <v>0</v>
      </c>
      <c r="Q248" s="8" t="s">
        <v>1086</v>
      </c>
    </row>
    <row r="249" spans="1:17" x14ac:dyDescent="0.45">
      <c r="A249" s="8">
        <v>37.700000000000003</v>
      </c>
      <c r="B249" s="8">
        <v>121855.64</v>
      </c>
      <c r="C249" s="8">
        <v>588</v>
      </c>
      <c r="D249" s="8">
        <v>1</v>
      </c>
      <c r="E249" s="8">
        <v>0</v>
      </c>
      <c r="F249" s="8">
        <v>55</v>
      </c>
      <c r="G249" s="8">
        <v>7500.63</v>
      </c>
      <c r="H249" s="8">
        <v>8287.31</v>
      </c>
      <c r="I249" s="8">
        <v>89682.32</v>
      </c>
      <c r="J249" s="8">
        <v>4755</v>
      </c>
      <c r="K249" s="8">
        <v>55</v>
      </c>
      <c r="L249" s="8">
        <v>7899.72</v>
      </c>
      <c r="M249" s="8">
        <v>3.1</v>
      </c>
      <c r="N249" s="8">
        <v>6.3</v>
      </c>
      <c r="O249" s="8">
        <v>0</v>
      </c>
      <c r="P249" s="8">
        <v>0</v>
      </c>
      <c r="Q249" s="8" t="s">
        <v>1086</v>
      </c>
    </row>
    <row r="250" spans="1:17" x14ac:dyDescent="0.45">
      <c r="A250" s="8">
        <v>58.1</v>
      </c>
      <c r="B250" s="8">
        <v>78057.440000000002</v>
      </c>
      <c r="C250" s="8">
        <v>667</v>
      </c>
      <c r="D250" s="8">
        <v>1</v>
      </c>
      <c r="E250" s="8">
        <v>1</v>
      </c>
      <c r="F250" s="8">
        <v>261</v>
      </c>
      <c r="G250" s="8">
        <v>7582.99</v>
      </c>
      <c r="H250" s="8">
        <v>3284.42</v>
      </c>
      <c r="I250" s="8">
        <v>57807.8</v>
      </c>
      <c r="J250" s="8">
        <v>812</v>
      </c>
      <c r="K250" s="8">
        <v>261</v>
      </c>
      <c r="L250" s="8">
        <v>8828.99</v>
      </c>
      <c r="M250" s="8">
        <v>0.9</v>
      </c>
      <c r="N250" s="8">
        <v>3.2</v>
      </c>
      <c r="O250" s="8">
        <v>0</v>
      </c>
      <c r="P250" s="8">
        <v>0</v>
      </c>
      <c r="Q250" s="8" t="s">
        <v>1086</v>
      </c>
    </row>
    <row r="251" spans="1:17" x14ac:dyDescent="0.45">
      <c r="A251" s="8">
        <v>42.9</v>
      </c>
      <c r="B251" s="8">
        <v>96883.62</v>
      </c>
      <c r="C251" s="8">
        <v>686</v>
      </c>
      <c r="D251" s="8">
        <v>0</v>
      </c>
      <c r="E251" s="8">
        <v>1</v>
      </c>
      <c r="F251" s="8">
        <v>178</v>
      </c>
      <c r="G251" s="8">
        <v>7721.46</v>
      </c>
      <c r="H251" s="8">
        <v>1917.49</v>
      </c>
      <c r="I251" s="8">
        <v>53427.63</v>
      </c>
      <c r="J251" s="8">
        <v>971</v>
      </c>
      <c r="K251" s="8">
        <v>178</v>
      </c>
      <c r="L251" s="8">
        <v>1192.44</v>
      </c>
      <c r="M251" s="8">
        <v>4.2</v>
      </c>
      <c r="N251" s="8">
        <v>9.1</v>
      </c>
      <c r="O251" s="8">
        <v>0</v>
      </c>
      <c r="P251" s="8">
        <v>0</v>
      </c>
      <c r="Q251" s="8" t="s">
        <v>1086</v>
      </c>
    </row>
    <row r="252" spans="1:17" x14ac:dyDescent="0.45">
      <c r="A252" s="8">
        <v>28.8</v>
      </c>
      <c r="B252" s="8">
        <v>93318.02</v>
      </c>
      <c r="C252" s="8">
        <v>676</v>
      </c>
      <c r="D252" s="8">
        <v>1</v>
      </c>
      <c r="E252" s="8">
        <v>0</v>
      </c>
      <c r="F252" s="8">
        <v>109</v>
      </c>
      <c r="G252" s="8">
        <v>7967.4</v>
      </c>
      <c r="H252" s="8">
        <v>19890.080000000002</v>
      </c>
      <c r="I252" s="8">
        <v>67392.84</v>
      </c>
      <c r="J252" s="8">
        <v>2176</v>
      </c>
      <c r="K252" s="8">
        <v>109</v>
      </c>
      <c r="L252" s="8">
        <v>7562.1</v>
      </c>
      <c r="M252" s="8">
        <v>2.6</v>
      </c>
      <c r="N252" s="8">
        <v>0.5</v>
      </c>
      <c r="O252" s="8">
        <v>0</v>
      </c>
      <c r="P252" s="8">
        <v>0</v>
      </c>
      <c r="Q252" s="8" t="s">
        <v>1086</v>
      </c>
    </row>
    <row r="253" spans="1:17" x14ac:dyDescent="0.45">
      <c r="A253" s="8">
        <v>49.2</v>
      </c>
      <c r="B253" s="8">
        <v>102412</v>
      </c>
      <c r="C253" s="8">
        <v>671</v>
      </c>
      <c r="D253" s="8">
        <v>1</v>
      </c>
      <c r="E253" s="8">
        <v>0</v>
      </c>
      <c r="F253" s="8">
        <v>10</v>
      </c>
      <c r="G253" s="8">
        <v>8528.01</v>
      </c>
      <c r="H253" s="8">
        <v>37142.53</v>
      </c>
      <c r="I253" s="8">
        <v>93489.85</v>
      </c>
      <c r="J253" s="8">
        <v>4860</v>
      </c>
      <c r="K253" s="8">
        <v>10</v>
      </c>
      <c r="L253" s="8">
        <v>1539.82</v>
      </c>
      <c r="M253" s="8">
        <v>6.2</v>
      </c>
      <c r="N253" s="8">
        <v>5.6</v>
      </c>
      <c r="O253" s="8">
        <v>0</v>
      </c>
      <c r="P253" s="8">
        <v>0</v>
      </c>
      <c r="Q253" s="8" t="s">
        <v>1086</v>
      </c>
    </row>
    <row r="254" spans="1:17" x14ac:dyDescent="0.45">
      <c r="A254" s="8">
        <v>28</v>
      </c>
      <c r="B254" s="8">
        <v>108534.83</v>
      </c>
      <c r="C254" s="8">
        <v>666</v>
      </c>
      <c r="D254" s="8">
        <v>0</v>
      </c>
      <c r="E254" s="8">
        <v>0</v>
      </c>
      <c r="F254" s="8">
        <v>292</v>
      </c>
      <c r="G254" s="8">
        <v>10872.94</v>
      </c>
      <c r="H254" s="8">
        <v>16695.060000000001</v>
      </c>
      <c r="I254" s="8">
        <v>68141.05</v>
      </c>
      <c r="J254" s="8">
        <v>1002</v>
      </c>
      <c r="K254" s="8">
        <v>292</v>
      </c>
      <c r="L254" s="8">
        <v>4079.75</v>
      </c>
      <c r="M254" s="8">
        <v>1</v>
      </c>
      <c r="N254" s="8">
        <v>5</v>
      </c>
      <c r="O254" s="8">
        <v>0</v>
      </c>
      <c r="P254" s="8">
        <v>0</v>
      </c>
      <c r="Q254" s="8" t="s">
        <v>1086</v>
      </c>
    </row>
    <row r="255" spans="1:17" s="10" customFormat="1" x14ac:dyDescent="0.45">
      <c r="A255" s="10">
        <v>57.5</v>
      </c>
      <c r="B255" s="10">
        <v>89963.839999999997</v>
      </c>
      <c r="C255" s="10">
        <v>430</v>
      </c>
      <c r="D255" s="10">
        <v>0</v>
      </c>
      <c r="E255" s="10">
        <v>0</v>
      </c>
      <c r="F255" s="10">
        <v>8</v>
      </c>
      <c r="G255" s="10">
        <v>14678</v>
      </c>
      <c r="H255" s="10">
        <v>8477.09</v>
      </c>
      <c r="I255" s="10">
        <v>59471.88</v>
      </c>
      <c r="J255" s="10">
        <v>574</v>
      </c>
      <c r="K255" s="10">
        <v>8</v>
      </c>
      <c r="L255" s="10">
        <v>3735.04</v>
      </c>
      <c r="M255" s="10">
        <v>3.4</v>
      </c>
      <c r="N255" s="10">
        <v>1.9</v>
      </c>
      <c r="O255" s="10">
        <v>0</v>
      </c>
      <c r="P255" s="10">
        <v>0</v>
      </c>
      <c r="Q255" s="10" t="s">
        <v>1086</v>
      </c>
    </row>
    <row r="256" spans="1:17" x14ac:dyDescent="0.45">
      <c r="A256" s="8">
        <v>64.599999999999994</v>
      </c>
      <c r="B256" s="8">
        <v>123109.1</v>
      </c>
      <c r="C256" s="8">
        <v>591</v>
      </c>
      <c r="D256" s="8">
        <v>0</v>
      </c>
      <c r="E256" s="8">
        <v>1</v>
      </c>
      <c r="F256" s="8">
        <v>74</v>
      </c>
      <c r="G256" s="8">
        <v>10</v>
      </c>
      <c r="H256" s="8">
        <v>3172.77</v>
      </c>
      <c r="I256" s="8">
        <v>101994.44</v>
      </c>
      <c r="J256" s="8">
        <v>4395</v>
      </c>
      <c r="K256" s="8">
        <v>74</v>
      </c>
      <c r="L256" s="8">
        <v>7635.44</v>
      </c>
      <c r="M256" s="8">
        <v>4.4000000000000004</v>
      </c>
      <c r="N256" s="8">
        <v>6.3</v>
      </c>
      <c r="O256" s="8">
        <v>9.6300000000000008</v>
      </c>
      <c r="P256" s="8">
        <v>1</v>
      </c>
      <c r="Q256" s="8" t="s">
        <v>1087</v>
      </c>
    </row>
    <row r="257" spans="1:17" x14ac:dyDescent="0.45">
      <c r="A257" s="8">
        <v>59.8</v>
      </c>
      <c r="B257" s="8">
        <v>88419.86</v>
      </c>
      <c r="C257" s="8">
        <v>668</v>
      </c>
      <c r="D257" s="8">
        <v>1</v>
      </c>
      <c r="E257" s="8">
        <v>1</v>
      </c>
      <c r="F257" s="8">
        <v>94</v>
      </c>
      <c r="G257" s="8">
        <v>14.23</v>
      </c>
      <c r="H257" s="8">
        <v>32104.73</v>
      </c>
      <c r="I257" s="8">
        <v>63047.1</v>
      </c>
      <c r="J257" s="8">
        <v>4685</v>
      </c>
      <c r="K257" s="8">
        <v>94</v>
      </c>
      <c r="L257" s="8">
        <v>2943.39</v>
      </c>
      <c r="M257" s="8">
        <v>6.5</v>
      </c>
      <c r="N257" s="8">
        <v>0.5</v>
      </c>
      <c r="O257" s="8">
        <v>7.88</v>
      </c>
      <c r="P257" s="8">
        <v>1</v>
      </c>
      <c r="Q257" s="8" t="s">
        <v>1087</v>
      </c>
    </row>
    <row r="258" spans="1:17" x14ac:dyDescent="0.45">
      <c r="A258" s="8">
        <v>40.299999999999997</v>
      </c>
      <c r="B258" s="8">
        <v>66188.27</v>
      </c>
      <c r="C258" s="8">
        <v>772</v>
      </c>
      <c r="D258" s="8">
        <v>1</v>
      </c>
      <c r="E258" s="8">
        <v>1</v>
      </c>
      <c r="F258" s="8">
        <v>157</v>
      </c>
      <c r="G258" s="8">
        <v>17.309999999999999</v>
      </c>
      <c r="H258" s="8">
        <v>19651.32</v>
      </c>
      <c r="I258" s="8">
        <v>46924.67</v>
      </c>
      <c r="J258" s="8">
        <v>1607</v>
      </c>
      <c r="K258" s="8">
        <v>157</v>
      </c>
      <c r="L258" s="8">
        <v>1277.17</v>
      </c>
      <c r="M258" s="8">
        <v>3</v>
      </c>
      <c r="N258" s="8">
        <v>6.7</v>
      </c>
      <c r="O258" s="8">
        <v>10.82</v>
      </c>
      <c r="P258" s="8">
        <v>1</v>
      </c>
      <c r="Q258" s="8" t="s">
        <v>1087</v>
      </c>
    </row>
    <row r="259" spans="1:17" x14ac:dyDescent="0.45">
      <c r="A259" s="8">
        <v>64</v>
      </c>
      <c r="B259" s="8">
        <v>67861.009999999995</v>
      </c>
      <c r="C259" s="8">
        <v>619</v>
      </c>
      <c r="D259" s="8">
        <v>0</v>
      </c>
      <c r="E259" s="8">
        <v>0</v>
      </c>
      <c r="F259" s="8">
        <v>24</v>
      </c>
      <c r="G259" s="8">
        <v>33.619999999999997</v>
      </c>
      <c r="H259" s="8">
        <v>35013.21</v>
      </c>
      <c r="I259" s="8">
        <v>61959.66</v>
      </c>
      <c r="J259" s="8">
        <v>3215</v>
      </c>
      <c r="K259" s="8">
        <v>24</v>
      </c>
      <c r="L259" s="8">
        <v>1732.74</v>
      </c>
      <c r="M259" s="8">
        <v>7.6</v>
      </c>
      <c r="N259" s="8">
        <v>7</v>
      </c>
      <c r="O259" s="8">
        <v>27.04</v>
      </c>
      <c r="P259" s="8">
        <v>1</v>
      </c>
      <c r="Q259" s="8" t="s">
        <v>1087</v>
      </c>
    </row>
    <row r="260" spans="1:17" x14ac:dyDescent="0.45">
      <c r="A260" s="8">
        <v>31.3</v>
      </c>
      <c r="B260" s="8">
        <v>129030.57</v>
      </c>
      <c r="C260" s="8">
        <v>694</v>
      </c>
      <c r="D260" s="8">
        <v>0</v>
      </c>
      <c r="E260" s="8">
        <v>0</v>
      </c>
      <c r="F260" s="8">
        <v>228</v>
      </c>
      <c r="G260" s="8">
        <v>34.229999999999997</v>
      </c>
      <c r="H260" s="8">
        <v>12763.33</v>
      </c>
      <c r="I260" s="8">
        <v>84077.69</v>
      </c>
      <c r="J260" s="8">
        <v>3035</v>
      </c>
      <c r="K260" s="8">
        <v>228</v>
      </c>
      <c r="L260" s="8">
        <v>712.98</v>
      </c>
      <c r="M260" s="8">
        <v>6</v>
      </c>
      <c r="N260" s="8">
        <v>0.5</v>
      </c>
      <c r="O260" s="8">
        <v>28.13</v>
      </c>
      <c r="P260" s="8">
        <v>1</v>
      </c>
      <c r="Q260" s="8" t="s">
        <v>1087</v>
      </c>
    </row>
    <row r="261" spans="1:17" x14ac:dyDescent="0.45">
      <c r="A261" s="8">
        <v>28.3</v>
      </c>
      <c r="B261" s="8">
        <v>94770.52</v>
      </c>
      <c r="C261" s="8">
        <v>617</v>
      </c>
      <c r="D261" s="8">
        <v>1</v>
      </c>
      <c r="E261" s="8">
        <v>0</v>
      </c>
      <c r="F261" s="8">
        <v>61</v>
      </c>
      <c r="G261" s="8">
        <v>36.39</v>
      </c>
      <c r="H261" s="8">
        <v>2953.77</v>
      </c>
      <c r="I261" s="8">
        <v>46307.4</v>
      </c>
      <c r="J261" s="8">
        <v>939</v>
      </c>
      <c r="K261" s="8">
        <v>61</v>
      </c>
      <c r="L261" s="8">
        <v>2599.56</v>
      </c>
      <c r="M261" s="8">
        <v>3.9</v>
      </c>
      <c r="N261" s="8">
        <v>5.9</v>
      </c>
      <c r="O261" s="8">
        <v>28.82</v>
      </c>
      <c r="P261" s="8">
        <v>1</v>
      </c>
      <c r="Q261" s="8" t="s">
        <v>1087</v>
      </c>
    </row>
    <row r="262" spans="1:17" x14ac:dyDescent="0.45">
      <c r="A262" s="8">
        <v>54.4</v>
      </c>
      <c r="B262" s="8">
        <v>70802.75</v>
      </c>
      <c r="C262" s="8">
        <v>573</v>
      </c>
      <c r="D262" s="8">
        <v>1</v>
      </c>
      <c r="E262" s="8">
        <v>0</v>
      </c>
      <c r="F262" s="8">
        <v>214</v>
      </c>
      <c r="G262" s="8">
        <v>39.69</v>
      </c>
      <c r="H262" s="8">
        <v>5089.01</v>
      </c>
      <c r="I262" s="8">
        <v>59488.51</v>
      </c>
      <c r="J262" s="8">
        <v>2761</v>
      </c>
      <c r="K262" s="8">
        <v>214</v>
      </c>
      <c r="L262" s="8">
        <v>9327.08</v>
      </c>
      <c r="M262" s="8">
        <v>1.6</v>
      </c>
      <c r="N262" s="8">
        <v>6.5</v>
      </c>
      <c r="O262" s="8">
        <v>35.07</v>
      </c>
      <c r="P262" s="8">
        <v>1</v>
      </c>
      <c r="Q262" s="8" t="s">
        <v>1087</v>
      </c>
    </row>
    <row r="263" spans="1:17" x14ac:dyDescent="0.45">
      <c r="A263" s="8">
        <v>55.4</v>
      </c>
      <c r="B263" s="8">
        <v>88317.56</v>
      </c>
      <c r="C263" s="8">
        <v>574</v>
      </c>
      <c r="D263" s="8">
        <v>1</v>
      </c>
      <c r="E263" s="8">
        <v>1</v>
      </c>
      <c r="F263" s="8">
        <v>249</v>
      </c>
      <c r="G263" s="8">
        <v>40.35</v>
      </c>
      <c r="H263" s="8">
        <v>16954.32</v>
      </c>
      <c r="I263" s="8">
        <v>48086.77</v>
      </c>
      <c r="J263" s="8">
        <v>3169</v>
      </c>
      <c r="K263" s="8">
        <v>249</v>
      </c>
      <c r="L263" s="8">
        <v>4624.63</v>
      </c>
      <c r="M263" s="8">
        <v>4.7</v>
      </c>
      <c r="N263" s="8">
        <v>0.5</v>
      </c>
      <c r="O263" s="8">
        <v>34.03</v>
      </c>
      <c r="P263" s="8">
        <v>1</v>
      </c>
      <c r="Q263" s="8" t="s">
        <v>1087</v>
      </c>
    </row>
    <row r="264" spans="1:17" x14ac:dyDescent="0.45">
      <c r="A264" s="8">
        <v>50.2</v>
      </c>
      <c r="B264" s="8">
        <v>143818.39000000001</v>
      </c>
      <c r="C264" s="8">
        <v>674</v>
      </c>
      <c r="D264" s="8">
        <v>0</v>
      </c>
      <c r="E264" s="8">
        <v>0</v>
      </c>
      <c r="F264" s="8">
        <v>200</v>
      </c>
      <c r="G264" s="8">
        <v>66.02</v>
      </c>
      <c r="H264" s="8">
        <v>3685.15</v>
      </c>
      <c r="I264" s="8">
        <v>90223.1</v>
      </c>
      <c r="J264" s="8">
        <v>2677</v>
      </c>
      <c r="K264" s="8">
        <v>200</v>
      </c>
      <c r="L264" s="8">
        <v>6089.75</v>
      </c>
      <c r="M264" s="8">
        <v>0.8</v>
      </c>
      <c r="N264" s="8">
        <v>8.1999999999999993</v>
      </c>
      <c r="O264" s="8">
        <v>50.97</v>
      </c>
      <c r="P264" s="8">
        <v>1</v>
      </c>
      <c r="Q264" s="8" t="s">
        <v>1087</v>
      </c>
    </row>
    <row r="265" spans="1:17" x14ac:dyDescent="0.45">
      <c r="A265" s="8">
        <v>55.8</v>
      </c>
      <c r="B265" s="8">
        <v>107375.52</v>
      </c>
      <c r="C265" s="8">
        <v>630</v>
      </c>
      <c r="D265" s="8">
        <v>1</v>
      </c>
      <c r="E265" s="8">
        <v>1</v>
      </c>
      <c r="F265" s="8">
        <v>122</v>
      </c>
      <c r="G265" s="8">
        <v>91.23</v>
      </c>
      <c r="H265" s="8">
        <v>16892.75</v>
      </c>
      <c r="I265" s="8">
        <v>50996.21</v>
      </c>
      <c r="J265" s="8">
        <v>3404</v>
      </c>
      <c r="K265" s="8">
        <v>122</v>
      </c>
      <c r="L265" s="8">
        <v>9532.84</v>
      </c>
      <c r="M265" s="8">
        <v>2.8</v>
      </c>
      <c r="N265" s="8">
        <v>4.9000000000000004</v>
      </c>
      <c r="O265" s="8">
        <v>84.9</v>
      </c>
      <c r="P265" s="8">
        <v>1</v>
      </c>
      <c r="Q265" s="8" t="s">
        <v>1087</v>
      </c>
    </row>
    <row r="266" spans="1:17" x14ac:dyDescent="0.45">
      <c r="A266" s="8">
        <v>60.4</v>
      </c>
      <c r="B266" s="8">
        <v>92012.44</v>
      </c>
      <c r="C266" s="8">
        <v>668</v>
      </c>
      <c r="D266" s="8">
        <v>1</v>
      </c>
      <c r="E266" s="8">
        <v>0</v>
      </c>
      <c r="F266" s="8">
        <v>54</v>
      </c>
      <c r="G266" s="8">
        <v>103.27</v>
      </c>
      <c r="H266" s="8">
        <v>12905.27</v>
      </c>
      <c r="I266" s="8">
        <v>56217.59</v>
      </c>
      <c r="J266" s="8">
        <v>1433</v>
      </c>
      <c r="K266" s="8">
        <v>54</v>
      </c>
      <c r="L266" s="8">
        <v>1378.45</v>
      </c>
      <c r="M266" s="8">
        <v>2.8</v>
      </c>
      <c r="N266" s="8">
        <v>6.6</v>
      </c>
      <c r="O266" s="8">
        <v>69.91</v>
      </c>
      <c r="P266" s="8">
        <v>1</v>
      </c>
      <c r="Q266" s="8" t="s">
        <v>1087</v>
      </c>
    </row>
    <row r="267" spans="1:17" x14ac:dyDescent="0.45">
      <c r="A267" s="8">
        <v>76.3</v>
      </c>
      <c r="B267" s="8">
        <v>125554.68</v>
      </c>
      <c r="C267" s="8">
        <v>735</v>
      </c>
      <c r="D267" s="8">
        <v>0</v>
      </c>
      <c r="E267" s="8">
        <v>1</v>
      </c>
      <c r="F267" s="8">
        <v>4</v>
      </c>
      <c r="G267" s="8">
        <v>105.17</v>
      </c>
      <c r="H267" s="8">
        <v>20924.98</v>
      </c>
      <c r="I267" s="8">
        <v>122198.37</v>
      </c>
      <c r="J267" s="8">
        <v>394</v>
      </c>
      <c r="K267" s="8">
        <v>4</v>
      </c>
      <c r="L267" s="8">
        <v>2721.17</v>
      </c>
      <c r="M267" s="8">
        <v>5.0999999999999996</v>
      </c>
      <c r="N267" s="8">
        <v>4.8</v>
      </c>
      <c r="O267" s="8">
        <v>63.17</v>
      </c>
      <c r="P267" s="8">
        <v>1</v>
      </c>
      <c r="Q267" s="8" t="s">
        <v>1087</v>
      </c>
    </row>
    <row r="268" spans="1:17" x14ac:dyDescent="0.45">
      <c r="A268" s="8">
        <v>18.100000000000001</v>
      </c>
      <c r="B268" s="8">
        <v>53924.06</v>
      </c>
      <c r="C268" s="8">
        <v>580</v>
      </c>
      <c r="D268" s="8">
        <v>0</v>
      </c>
      <c r="E268" s="8">
        <v>1</v>
      </c>
      <c r="F268" s="8">
        <v>218</v>
      </c>
      <c r="G268" s="8">
        <v>108.54</v>
      </c>
      <c r="H268" s="8">
        <v>9019.17</v>
      </c>
      <c r="I268" s="8">
        <v>24428.25</v>
      </c>
      <c r="J268" s="8">
        <v>1003</v>
      </c>
      <c r="K268" s="8">
        <v>218</v>
      </c>
      <c r="L268" s="8">
        <v>932.53</v>
      </c>
      <c r="M268" s="8">
        <v>4.9000000000000004</v>
      </c>
      <c r="N268" s="8">
        <v>5.0999999999999996</v>
      </c>
      <c r="O268" s="8">
        <v>103.81</v>
      </c>
      <c r="P268" s="8">
        <v>1</v>
      </c>
      <c r="Q268" s="8" t="s">
        <v>1087</v>
      </c>
    </row>
    <row r="269" spans="1:17" x14ac:dyDescent="0.45">
      <c r="A269" s="8">
        <v>55.6</v>
      </c>
      <c r="B269" s="8">
        <v>157694.98000000001</v>
      </c>
      <c r="C269" s="8">
        <v>679</v>
      </c>
      <c r="D269" s="8">
        <v>1</v>
      </c>
      <c r="E269" s="8">
        <v>0</v>
      </c>
      <c r="F269" s="8">
        <v>244</v>
      </c>
      <c r="G269" s="8">
        <v>116.58</v>
      </c>
      <c r="H269" s="8">
        <v>3899.71</v>
      </c>
      <c r="I269" s="8">
        <v>104626</v>
      </c>
      <c r="J269" s="8">
        <v>1966</v>
      </c>
      <c r="K269" s="8">
        <v>244</v>
      </c>
      <c r="L269" s="8">
        <v>5697.12</v>
      </c>
      <c r="M269" s="8">
        <v>2.8</v>
      </c>
      <c r="N269" s="8">
        <v>5.3</v>
      </c>
      <c r="O269" s="8">
        <v>100.45</v>
      </c>
      <c r="P269" s="8">
        <v>1</v>
      </c>
      <c r="Q269" s="8" t="s">
        <v>1087</v>
      </c>
    </row>
    <row r="270" spans="1:17" x14ac:dyDescent="0.45">
      <c r="A270" s="8">
        <v>44</v>
      </c>
      <c r="B270" s="8">
        <v>105365.93</v>
      </c>
      <c r="C270" s="8">
        <v>501</v>
      </c>
      <c r="D270" s="8">
        <v>1</v>
      </c>
      <c r="E270" s="8">
        <v>0</v>
      </c>
      <c r="F270" s="8">
        <v>161</v>
      </c>
      <c r="G270" s="8">
        <v>129.94999999999999</v>
      </c>
      <c r="H270" s="8">
        <v>37822.5</v>
      </c>
      <c r="I270" s="8">
        <v>78433</v>
      </c>
      <c r="J270" s="8">
        <v>1456</v>
      </c>
      <c r="K270" s="8">
        <v>161</v>
      </c>
      <c r="L270" s="8">
        <v>6871.8</v>
      </c>
      <c r="M270" s="8">
        <v>6.2</v>
      </c>
      <c r="N270" s="8">
        <v>3.6</v>
      </c>
      <c r="O270" s="8">
        <v>118.31</v>
      </c>
      <c r="P270" s="8">
        <v>1</v>
      </c>
      <c r="Q270" s="8" t="s">
        <v>1087</v>
      </c>
    </row>
    <row r="271" spans="1:17" x14ac:dyDescent="0.45">
      <c r="A271" s="8">
        <v>38.700000000000003</v>
      </c>
      <c r="B271" s="8">
        <v>75691.77</v>
      </c>
      <c r="C271" s="8">
        <v>682</v>
      </c>
      <c r="D271" s="8">
        <v>0</v>
      </c>
      <c r="E271" s="8">
        <v>0</v>
      </c>
      <c r="F271" s="8">
        <v>29</v>
      </c>
      <c r="G271" s="8">
        <v>135.76</v>
      </c>
      <c r="H271" s="8">
        <v>5351.17</v>
      </c>
      <c r="I271" s="8">
        <v>37669.51</v>
      </c>
      <c r="J271" s="8">
        <v>2407</v>
      </c>
      <c r="K271" s="8">
        <v>29</v>
      </c>
      <c r="L271" s="8">
        <v>6850.88</v>
      </c>
      <c r="M271" s="8">
        <v>6.2</v>
      </c>
      <c r="N271" s="8">
        <v>4.3</v>
      </c>
      <c r="O271" s="8">
        <v>87.92</v>
      </c>
      <c r="P271" s="8">
        <v>1</v>
      </c>
      <c r="Q271" s="8" t="s">
        <v>1087</v>
      </c>
    </row>
    <row r="272" spans="1:17" x14ac:dyDescent="0.45">
      <c r="A272" s="8">
        <v>53</v>
      </c>
      <c r="B272" s="8">
        <v>94132.78</v>
      </c>
      <c r="C272" s="8">
        <v>645</v>
      </c>
      <c r="D272" s="8">
        <v>0</v>
      </c>
      <c r="E272" s="8">
        <v>0</v>
      </c>
      <c r="F272" s="8">
        <v>113</v>
      </c>
      <c r="G272" s="8">
        <v>146.63999999999999</v>
      </c>
      <c r="H272" s="8">
        <v>80935.41</v>
      </c>
      <c r="I272" s="8">
        <v>64784.94</v>
      </c>
      <c r="J272" s="8">
        <v>3559</v>
      </c>
      <c r="K272" s="8">
        <v>113</v>
      </c>
      <c r="L272" s="8">
        <v>6715.5</v>
      </c>
      <c r="M272" s="8">
        <v>2.6</v>
      </c>
      <c r="N272" s="8">
        <v>5.0999999999999996</v>
      </c>
      <c r="O272" s="8">
        <v>95.59</v>
      </c>
      <c r="P272" s="8">
        <v>1</v>
      </c>
      <c r="Q272" s="8" t="s">
        <v>1087</v>
      </c>
    </row>
    <row r="273" spans="1:17" x14ac:dyDescent="0.45">
      <c r="A273" s="8">
        <v>57.7</v>
      </c>
      <c r="B273" s="8">
        <v>115096.47</v>
      </c>
      <c r="C273" s="8">
        <v>505</v>
      </c>
      <c r="D273" s="8">
        <v>0</v>
      </c>
      <c r="E273" s="8">
        <v>0</v>
      </c>
      <c r="F273" s="8">
        <v>137</v>
      </c>
      <c r="G273" s="8">
        <v>149.91</v>
      </c>
      <c r="H273" s="8">
        <v>26562.41</v>
      </c>
      <c r="I273" s="8">
        <v>66534.899999999994</v>
      </c>
      <c r="J273" s="8">
        <v>590</v>
      </c>
      <c r="K273" s="8">
        <v>137</v>
      </c>
      <c r="L273" s="8">
        <v>8138.02</v>
      </c>
      <c r="M273" s="8">
        <v>3.3</v>
      </c>
      <c r="N273" s="8">
        <v>3.1</v>
      </c>
      <c r="O273" s="8">
        <v>121.82</v>
      </c>
      <c r="P273" s="8">
        <v>1</v>
      </c>
      <c r="Q273" s="8" t="s">
        <v>1087</v>
      </c>
    </row>
    <row r="274" spans="1:17" x14ac:dyDescent="0.45">
      <c r="A274" s="8">
        <v>33.1</v>
      </c>
      <c r="B274" s="8">
        <v>87723.85</v>
      </c>
      <c r="C274" s="8">
        <v>564</v>
      </c>
      <c r="D274" s="8">
        <v>0</v>
      </c>
      <c r="E274" s="8">
        <v>0</v>
      </c>
      <c r="F274" s="8">
        <v>89</v>
      </c>
      <c r="G274" s="8">
        <v>150.57</v>
      </c>
      <c r="H274" s="8">
        <v>81186.740000000005</v>
      </c>
      <c r="I274" s="8">
        <v>70450.28</v>
      </c>
      <c r="J274" s="8">
        <v>2750</v>
      </c>
      <c r="K274" s="8">
        <v>89</v>
      </c>
      <c r="L274" s="8">
        <v>2697.83</v>
      </c>
      <c r="M274" s="8">
        <v>0.8</v>
      </c>
      <c r="N274" s="8">
        <v>7.1</v>
      </c>
      <c r="O274" s="8">
        <v>130.96</v>
      </c>
      <c r="P274" s="8">
        <v>1</v>
      </c>
      <c r="Q274" s="8" t="s">
        <v>1087</v>
      </c>
    </row>
    <row r="275" spans="1:17" x14ac:dyDescent="0.45">
      <c r="A275" s="8">
        <v>41.5</v>
      </c>
      <c r="B275" s="8">
        <v>82954.48</v>
      </c>
      <c r="C275" s="8">
        <v>756</v>
      </c>
      <c r="D275" s="8">
        <v>1</v>
      </c>
      <c r="E275" s="8">
        <v>0</v>
      </c>
      <c r="F275" s="8">
        <v>145</v>
      </c>
      <c r="G275" s="8">
        <v>175.94</v>
      </c>
      <c r="H275" s="8">
        <v>13452.94</v>
      </c>
      <c r="I275" s="8">
        <v>44745.5</v>
      </c>
      <c r="J275" s="8">
        <v>1879</v>
      </c>
      <c r="K275" s="8">
        <v>145</v>
      </c>
      <c r="L275" s="8">
        <v>8894.2900000000009</v>
      </c>
      <c r="M275" s="8">
        <v>4.2</v>
      </c>
      <c r="N275" s="8">
        <v>8.1</v>
      </c>
      <c r="O275" s="8">
        <v>104.49</v>
      </c>
      <c r="P275" s="8">
        <v>1</v>
      </c>
      <c r="Q275" s="8" t="s">
        <v>1087</v>
      </c>
    </row>
    <row r="276" spans="1:17" x14ac:dyDescent="0.45">
      <c r="A276" s="8">
        <v>90</v>
      </c>
      <c r="B276" s="8">
        <v>91766.32</v>
      </c>
      <c r="C276" s="8">
        <v>608</v>
      </c>
      <c r="D276" s="8">
        <v>1</v>
      </c>
      <c r="E276" s="8">
        <v>1</v>
      </c>
      <c r="F276" s="8">
        <v>203</v>
      </c>
      <c r="G276" s="8">
        <v>182.95</v>
      </c>
      <c r="H276" s="8">
        <v>3457.01</v>
      </c>
      <c r="I276" s="8">
        <v>57935.56</v>
      </c>
      <c r="J276" s="8">
        <v>274</v>
      </c>
      <c r="K276" s="8">
        <v>203</v>
      </c>
      <c r="L276" s="8">
        <v>3818.49</v>
      </c>
      <c r="M276" s="8">
        <v>2.1</v>
      </c>
      <c r="N276" s="8">
        <v>4.2</v>
      </c>
      <c r="O276" s="8">
        <v>149.41</v>
      </c>
      <c r="P276" s="8">
        <v>1</v>
      </c>
      <c r="Q276" s="8" t="s">
        <v>1087</v>
      </c>
    </row>
    <row r="277" spans="1:17" x14ac:dyDescent="0.45">
      <c r="A277" s="8">
        <v>73.3</v>
      </c>
      <c r="B277" s="8">
        <v>113796.47</v>
      </c>
      <c r="C277" s="8">
        <v>677</v>
      </c>
      <c r="D277" s="8">
        <v>1</v>
      </c>
      <c r="E277" s="8">
        <v>1</v>
      </c>
      <c r="F277" s="8">
        <v>228</v>
      </c>
      <c r="G277" s="8">
        <v>189.54</v>
      </c>
      <c r="H277" s="8">
        <v>10727.85</v>
      </c>
      <c r="I277" s="8">
        <v>81038.95</v>
      </c>
      <c r="J277" s="8">
        <v>2543</v>
      </c>
      <c r="K277" s="8">
        <v>228</v>
      </c>
      <c r="L277" s="8">
        <v>9422.16</v>
      </c>
      <c r="M277" s="8">
        <v>3.7</v>
      </c>
      <c r="N277" s="8">
        <v>6.6</v>
      </c>
      <c r="O277" s="8">
        <v>177.55</v>
      </c>
      <c r="P277" s="8">
        <v>1</v>
      </c>
      <c r="Q277" s="8" t="s">
        <v>1087</v>
      </c>
    </row>
    <row r="278" spans="1:17" x14ac:dyDescent="0.45">
      <c r="A278" s="8">
        <v>65.5</v>
      </c>
      <c r="B278" s="8">
        <v>105164.26</v>
      </c>
      <c r="C278" s="8">
        <v>519</v>
      </c>
      <c r="D278" s="8">
        <v>0</v>
      </c>
      <c r="E278" s="8">
        <v>0</v>
      </c>
      <c r="F278" s="8">
        <v>2</v>
      </c>
      <c r="G278" s="8">
        <v>196.46</v>
      </c>
      <c r="H278" s="8">
        <v>34350.22</v>
      </c>
      <c r="I278" s="8">
        <v>81715.73</v>
      </c>
      <c r="J278" s="8">
        <v>3431</v>
      </c>
      <c r="K278" s="8">
        <v>2</v>
      </c>
      <c r="L278" s="8">
        <v>9295.76</v>
      </c>
      <c r="M278" s="8">
        <v>5.3</v>
      </c>
      <c r="N278" s="8">
        <v>6.4</v>
      </c>
      <c r="O278" s="8">
        <v>191.86</v>
      </c>
      <c r="P278" s="8">
        <v>1</v>
      </c>
      <c r="Q278" s="8" t="s">
        <v>1087</v>
      </c>
    </row>
    <row r="279" spans="1:17" x14ac:dyDescent="0.45">
      <c r="A279" s="8">
        <v>57.6</v>
      </c>
      <c r="B279" s="8">
        <v>115384.86</v>
      </c>
      <c r="C279" s="8">
        <v>638</v>
      </c>
      <c r="D279" s="8">
        <v>0</v>
      </c>
      <c r="E279" s="8">
        <v>1</v>
      </c>
      <c r="F279" s="8">
        <v>273</v>
      </c>
      <c r="G279" s="8">
        <v>199.31</v>
      </c>
      <c r="H279" s="8">
        <v>2344.2399999999998</v>
      </c>
      <c r="I279" s="8">
        <v>60995.47</v>
      </c>
      <c r="J279" s="8">
        <v>1591</v>
      </c>
      <c r="K279" s="8">
        <v>273</v>
      </c>
      <c r="L279" s="8">
        <v>9310.9500000000007</v>
      </c>
      <c r="M279" s="8">
        <v>2.5</v>
      </c>
      <c r="N279" s="8">
        <v>4.7</v>
      </c>
      <c r="O279" s="8">
        <v>142.94999999999999</v>
      </c>
      <c r="P279" s="8">
        <v>1</v>
      </c>
      <c r="Q279" s="8" t="s">
        <v>1087</v>
      </c>
    </row>
    <row r="280" spans="1:17" x14ac:dyDescent="0.45">
      <c r="A280" s="8">
        <v>66.8</v>
      </c>
      <c r="B280" s="8">
        <v>122474.16</v>
      </c>
      <c r="C280" s="8">
        <v>542</v>
      </c>
      <c r="D280" s="8">
        <v>0</v>
      </c>
      <c r="E280" s="8">
        <v>0</v>
      </c>
      <c r="F280" s="8">
        <v>135</v>
      </c>
      <c r="G280" s="8">
        <v>204.9</v>
      </c>
      <c r="H280" s="8">
        <v>2048.7800000000002</v>
      </c>
      <c r="I280" s="8">
        <v>82253.77</v>
      </c>
      <c r="J280" s="8">
        <v>954</v>
      </c>
      <c r="K280" s="8">
        <v>135</v>
      </c>
      <c r="L280" s="8">
        <v>9107.32</v>
      </c>
      <c r="M280" s="8">
        <v>4.5999999999999996</v>
      </c>
      <c r="N280" s="8">
        <v>8.9</v>
      </c>
      <c r="O280" s="8">
        <v>120.56</v>
      </c>
      <c r="P280" s="8">
        <v>1</v>
      </c>
      <c r="Q280" s="8" t="s">
        <v>1087</v>
      </c>
    </row>
    <row r="281" spans="1:17" x14ac:dyDescent="0.45">
      <c r="A281" s="8">
        <v>49.5</v>
      </c>
      <c r="B281" s="8">
        <v>85055.63</v>
      </c>
      <c r="C281" s="8">
        <v>497</v>
      </c>
      <c r="D281" s="8">
        <v>1</v>
      </c>
      <c r="E281" s="8">
        <v>0</v>
      </c>
      <c r="F281" s="8">
        <v>69</v>
      </c>
      <c r="G281" s="8">
        <v>208.82</v>
      </c>
      <c r="H281" s="8">
        <v>91137.76</v>
      </c>
      <c r="I281" s="8">
        <v>46496.43</v>
      </c>
      <c r="J281" s="8">
        <v>2215</v>
      </c>
      <c r="K281" s="8">
        <v>69</v>
      </c>
      <c r="L281" s="8">
        <v>1343.35</v>
      </c>
      <c r="M281" s="8">
        <v>0.5</v>
      </c>
      <c r="N281" s="8">
        <v>6.3</v>
      </c>
      <c r="O281" s="8">
        <v>116.59</v>
      </c>
      <c r="P281" s="8">
        <v>1</v>
      </c>
      <c r="Q281" s="8" t="s">
        <v>1087</v>
      </c>
    </row>
    <row r="282" spans="1:17" x14ac:dyDescent="0.45">
      <c r="A282" s="8">
        <v>59.5</v>
      </c>
      <c r="B282" s="8">
        <v>108016.78</v>
      </c>
      <c r="C282" s="8">
        <v>782</v>
      </c>
      <c r="D282" s="8">
        <v>1</v>
      </c>
      <c r="E282" s="8">
        <v>0</v>
      </c>
      <c r="F282" s="8">
        <v>47</v>
      </c>
      <c r="G282" s="8">
        <v>209.03</v>
      </c>
      <c r="H282" s="8">
        <v>18173.66</v>
      </c>
      <c r="I282" s="8">
        <v>56179.44</v>
      </c>
      <c r="J282" s="8">
        <v>691</v>
      </c>
      <c r="K282" s="8">
        <v>47</v>
      </c>
      <c r="L282" s="8">
        <v>2905.91</v>
      </c>
      <c r="M282" s="8">
        <v>5.6</v>
      </c>
      <c r="N282" s="8">
        <v>8.4</v>
      </c>
      <c r="O282" s="8">
        <v>108.03</v>
      </c>
      <c r="P282" s="8">
        <v>1</v>
      </c>
      <c r="Q282" s="8" t="s">
        <v>1087</v>
      </c>
    </row>
    <row r="283" spans="1:17" x14ac:dyDescent="0.45">
      <c r="A283" s="8">
        <v>56.7</v>
      </c>
      <c r="B283" s="8">
        <v>80752.320000000007</v>
      </c>
      <c r="C283" s="8">
        <v>642</v>
      </c>
      <c r="D283" s="8">
        <v>0</v>
      </c>
      <c r="E283" s="8">
        <v>0</v>
      </c>
      <c r="F283" s="8">
        <v>257</v>
      </c>
      <c r="G283" s="8">
        <v>223.64</v>
      </c>
      <c r="H283" s="8">
        <v>279.18</v>
      </c>
      <c r="I283" s="8">
        <v>63466.83</v>
      </c>
      <c r="J283" s="8">
        <v>1678</v>
      </c>
      <c r="K283" s="8">
        <v>257</v>
      </c>
      <c r="L283" s="8">
        <v>5646.31</v>
      </c>
      <c r="M283" s="8">
        <v>3.6</v>
      </c>
      <c r="N283" s="8">
        <v>6</v>
      </c>
      <c r="O283" s="8">
        <v>113.32</v>
      </c>
      <c r="P283" s="8">
        <v>1</v>
      </c>
      <c r="Q283" s="8" t="s">
        <v>1087</v>
      </c>
    </row>
    <row r="284" spans="1:17" x14ac:dyDescent="0.45">
      <c r="A284" s="8">
        <v>74.400000000000006</v>
      </c>
      <c r="B284" s="8">
        <v>94606.77</v>
      </c>
      <c r="C284" s="8">
        <v>666</v>
      </c>
      <c r="D284" s="8">
        <v>0</v>
      </c>
      <c r="E284" s="8">
        <v>0</v>
      </c>
      <c r="F284" s="8">
        <v>184</v>
      </c>
      <c r="G284" s="8">
        <v>223.66</v>
      </c>
      <c r="H284" s="8">
        <v>4959.87</v>
      </c>
      <c r="I284" s="8">
        <v>68790.02</v>
      </c>
      <c r="J284" s="8">
        <v>4490</v>
      </c>
      <c r="K284" s="8">
        <v>184</v>
      </c>
      <c r="L284" s="8">
        <v>4340.3</v>
      </c>
      <c r="M284" s="8">
        <v>6.1</v>
      </c>
      <c r="N284" s="8">
        <v>1.5</v>
      </c>
      <c r="O284" s="8">
        <v>161.94</v>
      </c>
      <c r="P284" s="8">
        <v>1</v>
      </c>
      <c r="Q284" s="8" t="s">
        <v>1087</v>
      </c>
    </row>
    <row r="285" spans="1:17" x14ac:dyDescent="0.45">
      <c r="A285" s="8">
        <v>49.7</v>
      </c>
      <c r="B285" s="8">
        <v>105171.68</v>
      </c>
      <c r="C285" s="8">
        <v>665</v>
      </c>
      <c r="D285" s="8">
        <v>0</v>
      </c>
      <c r="E285" s="8">
        <v>0</v>
      </c>
      <c r="F285" s="8">
        <v>113</v>
      </c>
      <c r="G285" s="8">
        <v>229.48</v>
      </c>
      <c r="H285" s="8">
        <v>39110.019999999997</v>
      </c>
      <c r="I285" s="8">
        <v>51859.27</v>
      </c>
      <c r="J285" s="8">
        <v>2814</v>
      </c>
      <c r="K285" s="8">
        <v>113</v>
      </c>
      <c r="L285" s="8">
        <v>8049.21</v>
      </c>
      <c r="M285" s="8">
        <v>7.4</v>
      </c>
      <c r="N285" s="8">
        <v>4</v>
      </c>
      <c r="O285" s="8">
        <v>191.29</v>
      </c>
      <c r="P285" s="8">
        <v>1</v>
      </c>
      <c r="Q285" s="8" t="s">
        <v>1087</v>
      </c>
    </row>
    <row r="286" spans="1:17" x14ac:dyDescent="0.45">
      <c r="A286" s="8">
        <v>39.799999999999997</v>
      </c>
      <c r="B286" s="8">
        <v>101955.82</v>
      </c>
      <c r="C286" s="8">
        <v>608</v>
      </c>
      <c r="D286" s="8">
        <v>1</v>
      </c>
      <c r="E286" s="8">
        <v>1</v>
      </c>
      <c r="F286" s="8">
        <v>138</v>
      </c>
      <c r="G286" s="8">
        <v>241.28</v>
      </c>
      <c r="H286" s="8">
        <v>28933.71</v>
      </c>
      <c r="I286" s="8">
        <v>58677.35</v>
      </c>
      <c r="J286" s="8">
        <v>4589</v>
      </c>
      <c r="K286" s="8">
        <v>138</v>
      </c>
      <c r="L286" s="8">
        <v>2448.1999999999998</v>
      </c>
      <c r="M286" s="8">
        <v>3</v>
      </c>
      <c r="N286" s="8">
        <v>3.3</v>
      </c>
      <c r="O286" s="8">
        <v>206.71</v>
      </c>
      <c r="P286" s="8">
        <v>1</v>
      </c>
      <c r="Q286" s="8" t="s">
        <v>1087</v>
      </c>
    </row>
    <row r="287" spans="1:17" x14ac:dyDescent="0.45">
      <c r="A287" s="8">
        <v>27.3</v>
      </c>
      <c r="B287" s="8">
        <v>71845.67</v>
      </c>
      <c r="C287" s="8">
        <v>656</v>
      </c>
      <c r="D287" s="8">
        <v>0</v>
      </c>
      <c r="E287" s="8">
        <v>1</v>
      </c>
      <c r="F287" s="8">
        <v>95</v>
      </c>
      <c r="G287" s="8">
        <v>256.76</v>
      </c>
      <c r="H287" s="8">
        <v>13203.23</v>
      </c>
      <c r="I287" s="8">
        <v>52614.46</v>
      </c>
      <c r="J287" s="8">
        <v>2199</v>
      </c>
      <c r="K287" s="8">
        <v>95</v>
      </c>
      <c r="L287" s="8">
        <v>7484.85</v>
      </c>
      <c r="M287" s="8">
        <v>5.0999999999999996</v>
      </c>
      <c r="N287" s="8">
        <v>5.3</v>
      </c>
      <c r="O287" s="8">
        <v>206.52</v>
      </c>
      <c r="P287" s="8">
        <v>1</v>
      </c>
      <c r="Q287" s="8" t="s">
        <v>1087</v>
      </c>
    </row>
    <row r="288" spans="1:17" x14ac:dyDescent="0.45">
      <c r="A288" s="8">
        <v>65.5</v>
      </c>
      <c r="B288" s="8">
        <v>135100.06</v>
      </c>
      <c r="C288" s="8">
        <v>568</v>
      </c>
      <c r="D288" s="8">
        <v>0</v>
      </c>
      <c r="E288" s="8">
        <v>1</v>
      </c>
      <c r="F288" s="8">
        <v>183</v>
      </c>
      <c r="G288" s="8">
        <v>271.89</v>
      </c>
      <c r="H288" s="8">
        <v>14599.44</v>
      </c>
      <c r="I288" s="8">
        <v>90980.4</v>
      </c>
      <c r="J288" s="8">
        <v>367</v>
      </c>
      <c r="K288" s="8">
        <v>183</v>
      </c>
      <c r="L288" s="8">
        <v>3892.44</v>
      </c>
      <c r="M288" s="8">
        <v>8</v>
      </c>
      <c r="N288" s="8">
        <v>1.4</v>
      </c>
      <c r="O288" s="8">
        <v>169.99</v>
      </c>
      <c r="P288" s="8">
        <v>1</v>
      </c>
      <c r="Q288" s="8" t="s">
        <v>1087</v>
      </c>
    </row>
    <row r="289" spans="1:17" x14ac:dyDescent="0.45">
      <c r="A289" s="8">
        <v>39.299999999999997</v>
      </c>
      <c r="B289" s="8">
        <v>87796.01</v>
      </c>
      <c r="C289" s="8">
        <v>626</v>
      </c>
      <c r="D289" s="8">
        <v>0</v>
      </c>
      <c r="E289" s="8">
        <v>1</v>
      </c>
      <c r="F289" s="8">
        <v>289</v>
      </c>
      <c r="G289" s="8">
        <v>284.20999999999998</v>
      </c>
      <c r="H289" s="8">
        <v>14736.84</v>
      </c>
      <c r="I289" s="8">
        <v>60818.38</v>
      </c>
      <c r="J289" s="8">
        <v>1640</v>
      </c>
      <c r="K289" s="8">
        <v>289</v>
      </c>
      <c r="L289" s="8">
        <v>5127.88</v>
      </c>
      <c r="M289" s="8">
        <v>5.0999999999999996</v>
      </c>
      <c r="N289" s="8">
        <v>4</v>
      </c>
      <c r="O289" s="8">
        <v>203.81</v>
      </c>
      <c r="P289" s="8">
        <v>1</v>
      </c>
      <c r="Q289" s="8" t="s">
        <v>1087</v>
      </c>
    </row>
    <row r="290" spans="1:17" x14ac:dyDescent="0.45">
      <c r="A290" s="8">
        <v>26.1</v>
      </c>
      <c r="B290" s="8">
        <v>73403.87</v>
      </c>
      <c r="C290" s="8">
        <v>525</v>
      </c>
      <c r="D290" s="8">
        <v>1</v>
      </c>
      <c r="E290" s="8">
        <v>0</v>
      </c>
      <c r="F290" s="8">
        <v>72</v>
      </c>
      <c r="G290" s="8">
        <v>291.5</v>
      </c>
      <c r="H290" s="8">
        <v>15716.54</v>
      </c>
      <c r="I290" s="8">
        <v>50711.91</v>
      </c>
      <c r="J290" s="8">
        <v>1804</v>
      </c>
      <c r="K290" s="8">
        <v>72</v>
      </c>
      <c r="L290" s="8">
        <v>2143.54</v>
      </c>
      <c r="M290" s="8">
        <v>9.9</v>
      </c>
      <c r="N290" s="8">
        <v>3</v>
      </c>
      <c r="O290" s="8">
        <v>188.03</v>
      </c>
      <c r="P290" s="8">
        <v>1</v>
      </c>
      <c r="Q290" s="8" t="s">
        <v>1087</v>
      </c>
    </row>
    <row r="291" spans="1:17" x14ac:dyDescent="0.45">
      <c r="A291" s="8">
        <v>43</v>
      </c>
      <c r="B291" s="8">
        <v>58824.34</v>
      </c>
      <c r="C291" s="8">
        <v>711</v>
      </c>
      <c r="D291" s="8">
        <v>0</v>
      </c>
      <c r="E291" s="8">
        <v>0</v>
      </c>
      <c r="F291" s="8">
        <v>286</v>
      </c>
      <c r="G291" s="8">
        <v>291.77999999999997</v>
      </c>
      <c r="H291" s="8">
        <v>3097.31</v>
      </c>
      <c r="I291" s="8">
        <v>51272.28</v>
      </c>
      <c r="J291" s="8">
        <v>4717</v>
      </c>
      <c r="K291" s="8">
        <v>286</v>
      </c>
      <c r="L291" s="8">
        <v>8380.35</v>
      </c>
      <c r="M291" s="8">
        <v>5.9</v>
      </c>
      <c r="N291" s="8">
        <v>2.7</v>
      </c>
      <c r="O291" s="8">
        <v>157.96</v>
      </c>
      <c r="P291" s="8">
        <v>1</v>
      </c>
      <c r="Q291" s="8" t="s">
        <v>1087</v>
      </c>
    </row>
    <row r="292" spans="1:17" x14ac:dyDescent="0.45">
      <c r="A292" s="8">
        <v>50.4</v>
      </c>
      <c r="B292" s="8">
        <v>63842.92</v>
      </c>
      <c r="C292" s="8">
        <v>679</v>
      </c>
      <c r="D292" s="8">
        <v>0</v>
      </c>
      <c r="E292" s="8">
        <v>1</v>
      </c>
      <c r="F292" s="8">
        <v>173</v>
      </c>
      <c r="G292" s="8">
        <v>292.5</v>
      </c>
      <c r="H292" s="8">
        <v>4194.57</v>
      </c>
      <c r="I292" s="8">
        <v>34952.129999999997</v>
      </c>
      <c r="J292" s="8">
        <v>2855</v>
      </c>
      <c r="K292" s="8">
        <v>173</v>
      </c>
      <c r="L292" s="8">
        <v>6277.69</v>
      </c>
      <c r="M292" s="8">
        <v>4.2</v>
      </c>
      <c r="N292" s="8">
        <v>0.5</v>
      </c>
      <c r="O292" s="8">
        <v>254.25</v>
      </c>
      <c r="P292" s="8">
        <v>1</v>
      </c>
      <c r="Q292" s="8" t="s">
        <v>1087</v>
      </c>
    </row>
    <row r="293" spans="1:17" x14ac:dyDescent="0.45">
      <c r="A293" s="8">
        <v>41</v>
      </c>
      <c r="B293" s="8">
        <v>126155.31</v>
      </c>
      <c r="C293" s="8">
        <v>805</v>
      </c>
      <c r="D293" s="8">
        <v>1</v>
      </c>
      <c r="E293" s="8">
        <v>1</v>
      </c>
      <c r="F293" s="8">
        <v>115</v>
      </c>
      <c r="G293" s="8">
        <v>306.73</v>
      </c>
      <c r="H293" s="8">
        <v>23882.04</v>
      </c>
      <c r="I293" s="8">
        <v>83850.149999999994</v>
      </c>
      <c r="J293" s="8">
        <v>1106</v>
      </c>
      <c r="K293" s="8">
        <v>115</v>
      </c>
      <c r="L293" s="8">
        <v>8212.57</v>
      </c>
      <c r="M293" s="8">
        <v>10</v>
      </c>
      <c r="N293" s="8">
        <v>6.8</v>
      </c>
      <c r="O293" s="8">
        <v>199</v>
      </c>
      <c r="P293" s="8">
        <v>1</v>
      </c>
      <c r="Q293" s="8" t="s">
        <v>1087</v>
      </c>
    </row>
    <row r="294" spans="1:17" x14ac:dyDescent="0.45">
      <c r="A294" s="8">
        <v>36.700000000000003</v>
      </c>
      <c r="B294" s="8">
        <v>95592.14</v>
      </c>
      <c r="C294" s="8">
        <v>746</v>
      </c>
      <c r="D294" s="8">
        <v>0</v>
      </c>
      <c r="E294" s="8">
        <v>1</v>
      </c>
      <c r="F294" s="8">
        <v>81</v>
      </c>
      <c r="G294" s="8">
        <v>308.77999999999997</v>
      </c>
      <c r="H294" s="8">
        <v>4717.16</v>
      </c>
      <c r="I294" s="8">
        <v>60010.559999999998</v>
      </c>
      <c r="J294" s="8">
        <v>4749</v>
      </c>
      <c r="K294" s="8">
        <v>81</v>
      </c>
      <c r="L294" s="8">
        <v>5414.45</v>
      </c>
      <c r="M294" s="8">
        <v>1.1000000000000001</v>
      </c>
      <c r="N294" s="8">
        <v>4.5</v>
      </c>
      <c r="O294" s="8">
        <v>176.85</v>
      </c>
      <c r="P294" s="8">
        <v>1</v>
      </c>
      <c r="Q294" s="8" t="s">
        <v>1087</v>
      </c>
    </row>
    <row r="295" spans="1:17" x14ac:dyDescent="0.45">
      <c r="A295" s="8">
        <v>55.4</v>
      </c>
      <c r="B295" s="8">
        <v>70877.679999999993</v>
      </c>
      <c r="C295" s="8">
        <v>687</v>
      </c>
      <c r="D295" s="8">
        <v>0</v>
      </c>
      <c r="E295" s="8">
        <v>0</v>
      </c>
      <c r="F295" s="8">
        <v>4</v>
      </c>
      <c r="G295" s="8">
        <v>310.68</v>
      </c>
      <c r="H295" s="8">
        <v>4981.7299999999996</v>
      </c>
      <c r="I295" s="8">
        <v>41885.35</v>
      </c>
      <c r="J295" s="8">
        <v>3772</v>
      </c>
      <c r="K295" s="8">
        <v>4</v>
      </c>
      <c r="L295" s="8">
        <v>5828.13</v>
      </c>
      <c r="M295" s="8">
        <v>2</v>
      </c>
      <c r="N295" s="8">
        <v>0.5</v>
      </c>
      <c r="O295" s="8">
        <v>222.99</v>
      </c>
      <c r="P295" s="8">
        <v>1</v>
      </c>
      <c r="Q295" s="8" t="s">
        <v>1087</v>
      </c>
    </row>
    <row r="296" spans="1:17" x14ac:dyDescent="0.45">
      <c r="A296" s="8">
        <v>67.400000000000006</v>
      </c>
      <c r="B296" s="8">
        <v>69339.88</v>
      </c>
      <c r="C296" s="8">
        <v>743</v>
      </c>
      <c r="D296" s="8">
        <v>0</v>
      </c>
      <c r="E296" s="8">
        <v>0</v>
      </c>
      <c r="F296" s="8">
        <v>74</v>
      </c>
      <c r="G296" s="8">
        <v>317.07</v>
      </c>
      <c r="H296" s="8">
        <v>10894.92</v>
      </c>
      <c r="I296" s="8">
        <v>60004.14</v>
      </c>
      <c r="J296" s="8">
        <v>465</v>
      </c>
      <c r="K296" s="8">
        <v>74</v>
      </c>
      <c r="L296" s="8">
        <v>5007.9799999999996</v>
      </c>
      <c r="M296" s="8">
        <v>5.6</v>
      </c>
      <c r="N296" s="8">
        <v>5.5</v>
      </c>
      <c r="O296" s="8">
        <v>213.71</v>
      </c>
      <c r="P296" s="8">
        <v>1</v>
      </c>
      <c r="Q296" s="8" t="s">
        <v>1087</v>
      </c>
    </row>
    <row r="297" spans="1:17" x14ac:dyDescent="0.45">
      <c r="A297" s="8">
        <v>67</v>
      </c>
      <c r="B297" s="8">
        <v>58484.71</v>
      </c>
      <c r="C297" s="8">
        <v>752</v>
      </c>
      <c r="D297" s="8">
        <v>0</v>
      </c>
      <c r="E297" s="8">
        <v>1</v>
      </c>
      <c r="F297" s="8">
        <v>126</v>
      </c>
      <c r="G297" s="8">
        <v>323.58</v>
      </c>
      <c r="H297" s="8">
        <v>10863.51</v>
      </c>
      <c r="I297" s="8">
        <v>58484.71</v>
      </c>
      <c r="J297" s="8">
        <v>3433</v>
      </c>
      <c r="K297" s="8">
        <v>126</v>
      </c>
      <c r="L297" s="8">
        <v>9059.44</v>
      </c>
      <c r="M297" s="8">
        <v>0.5</v>
      </c>
      <c r="N297" s="8">
        <v>6.5</v>
      </c>
      <c r="O297" s="8">
        <v>208.38</v>
      </c>
      <c r="P297" s="8">
        <v>1</v>
      </c>
      <c r="Q297" s="8" t="s">
        <v>1087</v>
      </c>
    </row>
    <row r="298" spans="1:17" x14ac:dyDescent="0.45">
      <c r="A298" s="8">
        <v>27.3</v>
      </c>
      <c r="B298" s="8">
        <v>93193.24</v>
      </c>
      <c r="C298" s="8">
        <v>781</v>
      </c>
      <c r="D298" s="8">
        <v>0</v>
      </c>
      <c r="E298" s="8">
        <v>1</v>
      </c>
      <c r="F298" s="8">
        <v>37</v>
      </c>
      <c r="G298" s="8">
        <v>324.82</v>
      </c>
      <c r="H298" s="8">
        <v>8857.4599999999991</v>
      </c>
      <c r="I298" s="8">
        <v>63946.31</v>
      </c>
      <c r="J298" s="8">
        <v>2990</v>
      </c>
      <c r="K298" s="8">
        <v>37</v>
      </c>
      <c r="L298" s="8">
        <v>3631.47</v>
      </c>
      <c r="M298" s="8">
        <v>6</v>
      </c>
      <c r="N298" s="8">
        <v>0.7</v>
      </c>
      <c r="O298" s="8">
        <v>318.02</v>
      </c>
      <c r="P298" s="8">
        <v>1</v>
      </c>
      <c r="Q298" s="8" t="s">
        <v>1087</v>
      </c>
    </row>
    <row r="299" spans="1:17" x14ac:dyDescent="0.45">
      <c r="A299" s="8">
        <v>37.700000000000003</v>
      </c>
      <c r="B299" s="8">
        <v>106451.35</v>
      </c>
      <c r="C299" s="8">
        <v>673</v>
      </c>
      <c r="D299" s="8">
        <v>0</v>
      </c>
      <c r="E299" s="8">
        <v>1</v>
      </c>
      <c r="F299" s="8">
        <v>109</v>
      </c>
      <c r="G299" s="8">
        <v>328.01</v>
      </c>
      <c r="H299" s="8">
        <v>20753.64</v>
      </c>
      <c r="I299" s="8">
        <v>47012.54</v>
      </c>
      <c r="J299" s="8">
        <v>1336</v>
      </c>
      <c r="K299" s="8">
        <v>109</v>
      </c>
      <c r="L299" s="8">
        <v>271.32</v>
      </c>
      <c r="M299" s="8">
        <v>1.5</v>
      </c>
      <c r="N299" s="8">
        <v>13.9</v>
      </c>
      <c r="O299" s="8">
        <v>297.37</v>
      </c>
      <c r="P299" s="8">
        <v>1</v>
      </c>
      <c r="Q299" s="8" t="s">
        <v>1087</v>
      </c>
    </row>
    <row r="300" spans="1:17" x14ac:dyDescent="0.45">
      <c r="A300" s="8">
        <v>71.8</v>
      </c>
      <c r="B300" s="8">
        <v>110663.12</v>
      </c>
      <c r="C300" s="8">
        <v>580</v>
      </c>
      <c r="D300" s="8">
        <v>1</v>
      </c>
      <c r="E300" s="8">
        <v>0</v>
      </c>
      <c r="F300" s="8">
        <v>218</v>
      </c>
      <c r="G300" s="8">
        <v>336.33</v>
      </c>
      <c r="H300" s="8">
        <v>14312.5</v>
      </c>
      <c r="I300" s="8">
        <v>77737.75</v>
      </c>
      <c r="J300" s="8">
        <v>4710</v>
      </c>
      <c r="K300" s="8">
        <v>218</v>
      </c>
      <c r="L300" s="8">
        <v>2930.99</v>
      </c>
      <c r="M300" s="8">
        <v>5.3</v>
      </c>
      <c r="N300" s="8">
        <v>6.4</v>
      </c>
      <c r="O300" s="8">
        <v>215.13</v>
      </c>
      <c r="P300" s="8">
        <v>1</v>
      </c>
      <c r="Q300" s="8" t="s">
        <v>1087</v>
      </c>
    </row>
    <row r="301" spans="1:17" x14ac:dyDescent="0.45">
      <c r="A301" s="8">
        <v>47.9</v>
      </c>
      <c r="B301" s="8">
        <v>101215.82</v>
      </c>
      <c r="C301" s="8">
        <v>451</v>
      </c>
      <c r="D301" s="8">
        <v>1</v>
      </c>
      <c r="E301" s="8">
        <v>0</v>
      </c>
      <c r="F301" s="8">
        <v>20</v>
      </c>
      <c r="G301" s="8">
        <v>338.85</v>
      </c>
      <c r="H301" s="8">
        <v>42391.05</v>
      </c>
      <c r="I301" s="8">
        <v>79577.16</v>
      </c>
      <c r="J301" s="8">
        <v>3269</v>
      </c>
      <c r="K301" s="8">
        <v>20</v>
      </c>
      <c r="L301" s="8">
        <v>7941.02</v>
      </c>
      <c r="M301" s="8">
        <v>2.2000000000000002</v>
      </c>
      <c r="N301" s="8">
        <v>1.8</v>
      </c>
      <c r="O301" s="8">
        <v>338.56</v>
      </c>
      <c r="P301" s="8">
        <v>1</v>
      </c>
      <c r="Q301" s="8" t="s">
        <v>1087</v>
      </c>
    </row>
    <row r="302" spans="1:17" x14ac:dyDescent="0.45">
      <c r="A302" s="8">
        <v>38.4</v>
      </c>
      <c r="B302" s="8">
        <v>69379.899999999994</v>
      </c>
      <c r="C302" s="8">
        <v>593</v>
      </c>
      <c r="D302" s="8">
        <v>1</v>
      </c>
      <c r="E302" s="8">
        <v>0</v>
      </c>
      <c r="F302" s="8">
        <v>141</v>
      </c>
      <c r="G302" s="8">
        <v>342.06</v>
      </c>
      <c r="H302" s="8">
        <v>13713.08</v>
      </c>
      <c r="I302" s="8">
        <v>67528.19</v>
      </c>
      <c r="J302" s="8">
        <v>4731</v>
      </c>
      <c r="K302" s="8">
        <v>141</v>
      </c>
      <c r="L302" s="8">
        <v>7302.63</v>
      </c>
      <c r="M302" s="8">
        <v>5.8</v>
      </c>
      <c r="N302" s="8">
        <v>7.5</v>
      </c>
      <c r="O302" s="8">
        <v>323.95</v>
      </c>
      <c r="P302" s="8">
        <v>1</v>
      </c>
      <c r="Q302" s="8" t="s">
        <v>1087</v>
      </c>
    </row>
    <row r="303" spans="1:17" x14ac:dyDescent="0.45">
      <c r="A303" s="8">
        <v>33.4</v>
      </c>
      <c r="B303" s="8">
        <v>101955.37</v>
      </c>
      <c r="C303" s="8">
        <v>657</v>
      </c>
      <c r="D303" s="8">
        <v>1</v>
      </c>
      <c r="E303" s="8">
        <v>1</v>
      </c>
      <c r="F303" s="8">
        <v>222</v>
      </c>
      <c r="G303" s="8">
        <v>354.69</v>
      </c>
      <c r="H303" s="8">
        <v>30687.119999999999</v>
      </c>
      <c r="I303" s="8">
        <v>67542.009999999995</v>
      </c>
      <c r="J303" s="8">
        <v>4975</v>
      </c>
      <c r="K303" s="8">
        <v>222</v>
      </c>
      <c r="L303" s="8">
        <v>6211.98</v>
      </c>
      <c r="M303" s="8">
        <v>2.4</v>
      </c>
      <c r="N303" s="8">
        <v>4.3</v>
      </c>
      <c r="O303" s="8">
        <v>345.45</v>
      </c>
      <c r="P303" s="8">
        <v>1</v>
      </c>
      <c r="Q303" s="8" t="s">
        <v>1087</v>
      </c>
    </row>
    <row r="304" spans="1:17" x14ac:dyDescent="0.45">
      <c r="A304" s="8">
        <v>43</v>
      </c>
      <c r="B304" s="8">
        <v>60855.1</v>
      </c>
      <c r="C304" s="8">
        <v>850</v>
      </c>
      <c r="D304" s="8">
        <v>1</v>
      </c>
      <c r="E304" s="8">
        <v>0</v>
      </c>
      <c r="F304" s="8">
        <v>199</v>
      </c>
      <c r="G304" s="8">
        <v>357.61</v>
      </c>
      <c r="H304" s="8">
        <v>18110.96</v>
      </c>
      <c r="I304" s="8">
        <v>52599.78</v>
      </c>
      <c r="J304" s="8">
        <v>2812</v>
      </c>
      <c r="K304" s="8">
        <v>199</v>
      </c>
      <c r="L304" s="8">
        <v>1054.23</v>
      </c>
      <c r="M304" s="8">
        <v>7.3</v>
      </c>
      <c r="N304" s="8">
        <v>5.2</v>
      </c>
      <c r="O304" s="8">
        <v>214.37</v>
      </c>
      <c r="P304" s="8">
        <v>1</v>
      </c>
      <c r="Q304" s="8" t="s">
        <v>1087</v>
      </c>
    </row>
    <row r="305" spans="1:17" x14ac:dyDescent="0.45">
      <c r="A305" s="8">
        <v>36.4</v>
      </c>
      <c r="B305" s="8">
        <v>81884.72</v>
      </c>
      <c r="C305" s="8">
        <v>543</v>
      </c>
      <c r="D305" s="8">
        <v>0</v>
      </c>
      <c r="E305" s="8">
        <v>1</v>
      </c>
      <c r="F305" s="8">
        <v>160</v>
      </c>
      <c r="G305" s="8">
        <v>359.61</v>
      </c>
      <c r="H305" s="8">
        <v>16181.57</v>
      </c>
      <c r="I305" s="8">
        <v>64265.87</v>
      </c>
      <c r="J305" s="8">
        <v>2541</v>
      </c>
      <c r="K305" s="8">
        <v>160</v>
      </c>
      <c r="L305" s="8">
        <v>473.87</v>
      </c>
      <c r="M305" s="8">
        <v>4.2</v>
      </c>
      <c r="N305" s="8">
        <v>3.9</v>
      </c>
      <c r="O305" s="8">
        <v>338.91</v>
      </c>
      <c r="P305" s="8">
        <v>1</v>
      </c>
      <c r="Q305" s="8" t="s">
        <v>1087</v>
      </c>
    </row>
    <row r="306" spans="1:17" x14ac:dyDescent="0.45">
      <c r="A306" s="8">
        <v>51</v>
      </c>
      <c r="B306" s="8">
        <v>39088.76</v>
      </c>
      <c r="C306" s="8">
        <v>617</v>
      </c>
      <c r="D306" s="8">
        <v>0</v>
      </c>
      <c r="E306" s="8">
        <v>0</v>
      </c>
      <c r="F306" s="8">
        <v>38</v>
      </c>
      <c r="G306" s="8">
        <v>364.34</v>
      </c>
      <c r="H306" s="8">
        <v>6488.84</v>
      </c>
      <c r="I306" s="8">
        <v>28582.48</v>
      </c>
      <c r="J306" s="8">
        <v>1646</v>
      </c>
      <c r="K306" s="8">
        <v>38</v>
      </c>
      <c r="L306" s="8">
        <v>4840.3900000000003</v>
      </c>
      <c r="M306" s="8">
        <v>5.5</v>
      </c>
      <c r="N306" s="8">
        <v>3.1</v>
      </c>
      <c r="O306" s="8">
        <v>278.76</v>
      </c>
      <c r="P306" s="8">
        <v>1</v>
      </c>
      <c r="Q306" s="8" t="s">
        <v>1087</v>
      </c>
    </row>
    <row r="307" spans="1:17" x14ac:dyDescent="0.45">
      <c r="A307" s="8">
        <v>45.7</v>
      </c>
      <c r="B307" s="8">
        <v>108637.59</v>
      </c>
      <c r="C307" s="8">
        <v>850</v>
      </c>
      <c r="D307" s="8">
        <v>1</v>
      </c>
      <c r="E307" s="8">
        <v>0</v>
      </c>
      <c r="F307" s="8">
        <v>121</v>
      </c>
      <c r="G307" s="8">
        <v>368.13</v>
      </c>
      <c r="H307" s="8">
        <v>27094.19</v>
      </c>
      <c r="I307" s="8">
        <v>71688.259999999995</v>
      </c>
      <c r="J307" s="8">
        <v>1245</v>
      </c>
      <c r="K307" s="8">
        <v>121</v>
      </c>
      <c r="L307" s="8">
        <v>4477.67</v>
      </c>
      <c r="M307" s="8">
        <v>5.7</v>
      </c>
      <c r="N307" s="8">
        <v>4.4000000000000004</v>
      </c>
      <c r="O307" s="8">
        <v>214.26</v>
      </c>
      <c r="P307" s="8">
        <v>1</v>
      </c>
      <c r="Q307" s="8" t="s">
        <v>1087</v>
      </c>
    </row>
    <row r="308" spans="1:17" x14ac:dyDescent="0.45">
      <c r="A308" s="8">
        <v>82</v>
      </c>
      <c r="B308" s="8">
        <v>93604.1</v>
      </c>
      <c r="C308" s="8">
        <v>642</v>
      </c>
      <c r="D308" s="8">
        <v>0</v>
      </c>
      <c r="E308" s="8">
        <v>1</v>
      </c>
      <c r="F308" s="8">
        <v>186</v>
      </c>
      <c r="G308" s="8">
        <v>369.91</v>
      </c>
      <c r="H308" s="8">
        <v>5464.18</v>
      </c>
      <c r="I308" s="8">
        <v>55319.6</v>
      </c>
      <c r="J308" s="8">
        <v>3503</v>
      </c>
      <c r="K308" s="8">
        <v>186</v>
      </c>
      <c r="L308" s="8">
        <v>8058.7</v>
      </c>
      <c r="M308" s="8">
        <v>3.9</v>
      </c>
      <c r="N308" s="8">
        <v>2.2000000000000002</v>
      </c>
      <c r="O308" s="8">
        <v>349.72</v>
      </c>
      <c r="P308" s="8">
        <v>1</v>
      </c>
      <c r="Q308" s="8" t="s">
        <v>1087</v>
      </c>
    </row>
    <row r="309" spans="1:17" x14ac:dyDescent="0.45">
      <c r="A309" s="8">
        <v>41.3</v>
      </c>
      <c r="B309" s="8">
        <v>67453.77</v>
      </c>
      <c r="C309" s="8">
        <v>708</v>
      </c>
      <c r="D309" s="8">
        <v>0</v>
      </c>
      <c r="E309" s="8">
        <v>0</v>
      </c>
      <c r="F309" s="8">
        <v>242</v>
      </c>
      <c r="G309" s="8">
        <v>374.62</v>
      </c>
      <c r="H309" s="8">
        <v>65098.67</v>
      </c>
      <c r="I309" s="8">
        <v>60683.05</v>
      </c>
      <c r="J309" s="8">
        <v>134</v>
      </c>
      <c r="K309" s="8">
        <v>242</v>
      </c>
      <c r="L309" s="8">
        <v>4021.4</v>
      </c>
      <c r="M309" s="8">
        <v>5.0999999999999996</v>
      </c>
      <c r="N309" s="8">
        <v>9</v>
      </c>
      <c r="O309" s="8">
        <v>335.32</v>
      </c>
      <c r="P309" s="8">
        <v>1</v>
      </c>
      <c r="Q309" s="8" t="s">
        <v>1087</v>
      </c>
    </row>
    <row r="310" spans="1:17" x14ac:dyDescent="0.45">
      <c r="A310" s="8">
        <v>59.8</v>
      </c>
      <c r="B310" s="8">
        <v>71732.11</v>
      </c>
      <c r="C310" s="8">
        <v>697</v>
      </c>
      <c r="D310" s="8">
        <v>0</v>
      </c>
      <c r="E310" s="8">
        <v>0</v>
      </c>
      <c r="F310" s="8">
        <v>205</v>
      </c>
      <c r="G310" s="8">
        <v>378.42</v>
      </c>
      <c r="H310" s="8">
        <v>14418.91</v>
      </c>
      <c r="I310" s="8">
        <v>38562.86</v>
      </c>
      <c r="J310" s="8">
        <v>2681</v>
      </c>
      <c r="K310" s="8">
        <v>205</v>
      </c>
      <c r="L310" s="8">
        <v>4716.13</v>
      </c>
      <c r="M310" s="8">
        <v>4.5</v>
      </c>
      <c r="N310" s="8">
        <v>6.7</v>
      </c>
      <c r="O310" s="8">
        <v>353.4</v>
      </c>
      <c r="P310" s="8">
        <v>1</v>
      </c>
      <c r="Q310" s="8" t="s">
        <v>1087</v>
      </c>
    </row>
    <row r="311" spans="1:17" x14ac:dyDescent="0.45">
      <c r="A311" s="8">
        <v>36.200000000000003</v>
      </c>
      <c r="B311" s="8">
        <v>99261.37</v>
      </c>
      <c r="C311" s="8">
        <v>614</v>
      </c>
      <c r="D311" s="8">
        <v>0</v>
      </c>
      <c r="E311" s="8">
        <v>1</v>
      </c>
      <c r="F311" s="8">
        <v>50</v>
      </c>
      <c r="G311" s="8">
        <v>384.22</v>
      </c>
      <c r="H311" s="8">
        <v>18293.830000000002</v>
      </c>
      <c r="I311" s="8">
        <v>72708.36</v>
      </c>
      <c r="J311" s="8">
        <v>4060</v>
      </c>
      <c r="K311" s="8">
        <v>50</v>
      </c>
      <c r="L311" s="8">
        <v>155.19999999999999</v>
      </c>
      <c r="M311" s="8">
        <v>5.9</v>
      </c>
      <c r="N311" s="8">
        <v>1.2</v>
      </c>
      <c r="O311" s="8">
        <v>327.13</v>
      </c>
      <c r="P311" s="8">
        <v>1</v>
      </c>
      <c r="Q311" s="8" t="s">
        <v>1087</v>
      </c>
    </row>
    <row r="312" spans="1:17" x14ac:dyDescent="0.45">
      <c r="A312" s="8">
        <v>45.3</v>
      </c>
      <c r="B312" s="8">
        <v>102546.63</v>
      </c>
      <c r="C312" s="8">
        <v>684</v>
      </c>
      <c r="D312" s="8">
        <v>0</v>
      </c>
      <c r="E312" s="8">
        <v>1</v>
      </c>
      <c r="F312" s="8">
        <v>174</v>
      </c>
      <c r="G312" s="8">
        <v>393.29</v>
      </c>
      <c r="H312" s="8">
        <v>45459.61</v>
      </c>
      <c r="I312" s="8">
        <v>56181.919999999998</v>
      </c>
      <c r="J312" s="8">
        <v>4962</v>
      </c>
      <c r="K312" s="8">
        <v>174</v>
      </c>
      <c r="L312" s="8">
        <v>2103.25</v>
      </c>
      <c r="M312" s="8">
        <v>2.2999999999999998</v>
      </c>
      <c r="N312" s="8">
        <v>2</v>
      </c>
      <c r="O312" s="8">
        <v>344.15</v>
      </c>
      <c r="P312" s="8">
        <v>1</v>
      </c>
      <c r="Q312" s="8" t="s">
        <v>1087</v>
      </c>
    </row>
    <row r="313" spans="1:17" x14ac:dyDescent="0.45">
      <c r="A313" s="8">
        <v>53.4</v>
      </c>
      <c r="B313" s="8">
        <v>113781.15</v>
      </c>
      <c r="C313" s="8">
        <v>698</v>
      </c>
      <c r="D313" s="8">
        <v>1</v>
      </c>
      <c r="E313" s="8">
        <v>0</v>
      </c>
      <c r="F313" s="8">
        <v>289</v>
      </c>
      <c r="G313" s="8">
        <v>414.9</v>
      </c>
      <c r="H313" s="8">
        <v>9670.6</v>
      </c>
      <c r="I313" s="8">
        <v>57449.02</v>
      </c>
      <c r="J313" s="8">
        <v>693</v>
      </c>
      <c r="K313" s="8">
        <v>289</v>
      </c>
      <c r="L313" s="8">
        <v>9133.86</v>
      </c>
      <c r="M313" s="8">
        <v>3.1</v>
      </c>
      <c r="N313" s="8">
        <v>3.2</v>
      </c>
      <c r="O313" s="8">
        <v>369.78</v>
      </c>
      <c r="P313" s="8">
        <v>1</v>
      </c>
      <c r="Q313" s="8" t="s">
        <v>1087</v>
      </c>
    </row>
    <row r="314" spans="1:17" x14ac:dyDescent="0.45">
      <c r="A314" s="8">
        <v>56.1</v>
      </c>
      <c r="B314" s="8">
        <v>69843.350000000006</v>
      </c>
      <c r="C314" s="8">
        <v>843</v>
      </c>
      <c r="D314" s="8">
        <v>0</v>
      </c>
      <c r="E314" s="8">
        <v>1</v>
      </c>
      <c r="F314" s="8">
        <v>289</v>
      </c>
      <c r="G314" s="8">
        <v>427.17</v>
      </c>
      <c r="H314" s="8">
        <v>933.14</v>
      </c>
      <c r="I314" s="8">
        <v>68638.45</v>
      </c>
      <c r="J314" s="8">
        <v>3197</v>
      </c>
      <c r="K314" s="8">
        <v>289</v>
      </c>
      <c r="L314" s="8">
        <v>1804.66</v>
      </c>
      <c r="M314" s="8">
        <v>4</v>
      </c>
      <c r="N314" s="8">
        <v>8.6</v>
      </c>
      <c r="O314" s="8">
        <v>418.49</v>
      </c>
      <c r="P314" s="8">
        <v>1</v>
      </c>
      <c r="Q314" s="8" t="s">
        <v>1087</v>
      </c>
    </row>
    <row r="315" spans="1:17" x14ac:dyDescent="0.45">
      <c r="A315" s="8">
        <v>36.5</v>
      </c>
      <c r="B315" s="8">
        <v>60887.78</v>
      </c>
      <c r="C315" s="8">
        <v>577</v>
      </c>
      <c r="D315" s="8">
        <v>0</v>
      </c>
      <c r="E315" s="8">
        <v>1</v>
      </c>
      <c r="F315" s="8">
        <v>141</v>
      </c>
      <c r="G315" s="8">
        <v>440.52</v>
      </c>
      <c r="H315" s="8">
        <v>22736.41</v>
      </c>
      <c r="I315" s="8">
        <v>38255.08</v>
      </c>
      <c r="J315" s="8">
        <v>3597</v>
      </c>
      <c r="K315" s="8">
        <v>141</v>
      </c>
      <c r="L315" s="8">
        <v>3011.88</v>
      </c>
      <c r="M315" s="8">
        <v>3.7</v>
      </c>
      <c r="N315" s="8">
        <v>10.6</v>
      </c>
      <c r="O315" s="8">
        <v>313.38</v>
      </c>
      <c r="P315" s="8">
        <v>1</v>
      </c>
      <c r="Q315" s="8" t="s">
        <v>1087</v>
      </c>
    </row>
    <row r="316" spans="1:17" x14ac:dyDescent="0.45">
      <c r="A316" s="8">
        <v>46.7</v>
      </c>
      <c r="B316" s="8">
        <v>98802.02</v>
      </c>
      <c r="C316" s="8">
        <v>527</v>
      </c>
      <c r="D316" s="8">
        <v>0</v>
      </c>
      <c r="E316" s="8">
        <v>1</v>
      </c>
      <c r="F316" s="8">
        <v>88</v>
      </c>
      <c r="G316" s="8">
        <v>441.78</v>
      </c>
      <c r="H316" s="8">
        <v>10394.82</v>
      </c>
      <c r="I316" s="8">
        <v>63794.12</v>
      </c>
      <c r="J316" s="8">
        <v>2705</v>
      </c>
      <c r="K316" s="8">
        <v>88</v>
      </c>
      <c r="L316" s="8">
        <v>1140.23</v>
      </c>
      <c r="M316" s="8">
        <v>2</v>
      </c>
      <c r="N316" s="8">
        <v>8</v>
      </c>
      <c r="O316" s="8">
        <v>301.51</v>
      </c>
      <c r="P316" s="8">
        <v>1</v>
      </c>
      <c r="Q316" s="8" t="s">
        <v>1087</v>
      </c>
    </row>
    <row r="317" spans="1:17" x14ac:dyDescent="0.45">
      <c r="A317" s="8">
        <v>39.5</v>
      </c>
      <c r="B317" s="8">
        <v>109019.26</v>
      </c>
      <c r="C317" s="8">
        <v>751</v>
      </c>
      <c r="D317" s="8">
        <v>0</v>
      </c>
      <c r="E317" s="8">
        <v>0</v>
      </c>
      <c r="F317" s="8">
        <v>293</v>
      </c>
      <c r="G317" s="8">
        <v>456.96</v>
      </c>
      <c r="H317" s="8">
        <v>1280.99</v>
      </c>
      <c r="I317" s="8">
        <v>82482.25</v>
      </c>
      <c r="J317" s="8">
        <v>697</v>
      </c>
      <c r="K317" s="8">
        <v>293</v>
      </c>
      <c r="L317" s="8">
        <v>1429.99</v>
      </c>
      <c r="M317" s="8">
        <v>3.2</v>
      </c>
      <c r="N317" s="8">
        <v>6.1</v>
      </c>
      <c r="O317" s="8">
        <v>442.41</v>
      </c>
      <c r="P317" s="8">
        <v>1</v>
      </c>
      <c r="Q317" s="8" t="s">
        <v>1087</v>
      </c>
    </row>
    <row r="318" spans="1:17" x14ac:dyDescent="0.45">
      <c r="A318" s="8">
        <v>77.5</v>
      </c>
      <c r="B318" s="8">
        <v>63401.66</v>
      </c>
      <c r="C318" s="8">
        <v>661</v>
      </c>
      <c r="D318" s="8">
        <v>1</v>
      </c>
      <c r="E318" s="8">
        <v>0</v>
      </c>
      <c r="F318" s="8">
        <v>127</v>
      </c>
      <c r="G318" s="8">
        <v>471.74</v>
      </c>
      <c r="H318" s="8">
        <v>5721.45</v>
      </c>
      <c r="I318" s="8">
        <v>37024.120000000003</v>
      </c>
      <c r="J318" s="8">
        <v>1211</v>
      </c>
      <c r="K318" s="8">
        <v>127</v>
      </c>
      <c r="L318" s="8">
        <v>7232.2</v>
      </c>
      <c r="M318" s="8">
        <v>3.9</v>
      </c>
      <c r="N318" s="8">
        <v>2.2999999999999998</v>
      </c>
      <c r="O318" s="8">
        <v>335.52</v>
      </c>
      <c r="P318" s="8">
        <v>1</v>
      </c>
      <c r="Q318" s="8" t="s">
        <v>1087</v>
      </c>
    </row>
    <row r="319" spans="1:17" x14ac:dyDescent="0.45">
      <c r="A319" s="8">
        <v>72.2</v>
      </c>
      <c r="B319" s="8">
        <v>74603.94</v>
      </c>
      <c r="C319" s="8">
        <v>678</v>
      </c>
      <c r="D319" s="8">
        <v>0</v>
      </c>
      <c r="E319" s="8">
        <v>0</v>
      </c>
      <c r="F319" s="8">
        <v>141</v>
      </c>
      <c r="G319" s="8">
        <v>473.38</v>
      </c>
      <c r="H319" s="8">
        <v>4520.3</v>
      </c>
      <c r="I319" s="8">
        <v>56053.23</v>
      </c>
      <c r="J319" s="8">
        <v>1128</v>
      </c>
      <c r="K319" s="8">
        <v>141</v>
      </c>
      <c r="L319" s="8">
        <v>4800.3999999999996</v>
      </c>
      <c r="M319" s="8">
        <v>7.8</v>
      </c>
      <c r="N319" s="8">
        <v>2.7</v>
      </c>
      <c r="O319" s="8">
        <v>378.21</v>
      </c>
      <c r="P319" s="8">
        <v>1</v>
      </c>
      <c r="Q319" s="8" t="s">
        <v>1087</v>
      </c>
    </row>
    <row r="320" spans="1:17" x14ac:dyDescent="0.45">
      <c r="A320" s="8">
        <v>47.9</v>
      </c>
      <c r="B320" s="8">
        <v>84225.79</v>
      </c>
      <c r="C320" s="8">
        <v>610</v>
      </c>
      <c r="D320" s="8">
        <v>0</v>
      </c>
      <c r="E320" s="8">
        <v>1</v>
      </c>
      <c r="F320" s="8">
        <v>38</v>
      </c>
      <c r="G320" s="8">
        <v>475.07</v>
      </c>
      <c r="H320" s="8">
        <v>32492.240000000002</v>
      </c>
      <c r="I320" s="8">
        <v>65603.22</v>
      </c>
      <c r="J320" s="8">
        <v>2431</v>
      </c>
      <c r="K320" s="8">
        <v>38</v>
      </c>
      <c r="L320" s="8">
        <v>1464.22</v>
      </c>
      <c r="M320" s="8">
        <v>3</v>
      </c>
      <c r="N320" s="8">
        <v>4.9000000000000004</v>
      </c>
      <c r="O320" s="8">
        <v>372.4</v>
      </c>
      <c r="P320" s="8">
        <v>1</v>
      </c>
      <c r="Q320" s="8" t="s">
        <v>1087</v>
      </c>
    </row>
    <row r="321" spans="1:17" x14ac:dyDescent="0.45">
      <c r="A321" s="8">
        <v>55</v>
      </c>
      <c r="B321" s="8">
        <v>75998.600000000006</v>
      </c>
      <c r="C321" s="8">
        <v>701</v>
      </c>
      <c r="D321" s="8">
        <v>1</v>
      </c>
      <c r="E321" s="8">
        <v>0</v>
      </c>
      <c r="F321" s="8">
        <v>114</v>
      </c>
      <c r="G321" s="8">
        <v>475.26</v>
      </c>
      <c r="H321" s="8">
        <v>32167.11</v>
      </c>
      <c r="I321" s="8">
        <v>65382.54</v>
      </c>
      <c r="J321" s="8">
        <v>328</v>
      </c>
      <c r="K321" s="8">
        <v>114</v>
      </c>
      <c r="L321" s="8">
        <v>7398.82</v>
      </c>
      <c r="M321" s="8">
        <v>5.3</v>
      </c>
      <c r="N321" s="8">
        <v>9.6999999999999993</v>
      </c>
      <c r="O321" s="8">
        <v>398.13</v>
      </c>
      <c r="P321" s="8">
        <v>1</v>
      </c>
      <c r="Q321" s="8" t="s">
        <v>1087</v>
      </c>
    </row>
    <row r="322" spans="1:17" x14ac:dyDescent="0.45">
      <c r="A322" s="8">
        <v>54.5</v>
      </c>
      <c r="B322" s="8">
        <v>86329.11</v>
      </c>
      <c r="C322" s="8">
        <v>571</v>
      </c>
      <c r="D322" s="8">
        <v>0</v>
      </c>
      <c r="E322" s="8">
        <v>1</v>
      </c>
      <c r="F322" s="8">
        <v>226</v>
      </c>
      <c r="G322" s="8">
        <v>476.72</v>
      </c>
      <c r="H322" s="8">
        <v>30504.31</v>
      </c>
      <c r="I322" s="8">
        <v>70109.399999999994</v>
      </c>
      <c r="J322" s="8">
        <v>3788</v>
      </c>
      <c r="K322" s="8">
        <v>226</v>
      </c>
      <c r="L322" s="8">
        <v>2305.77</v>
      </c>
      <c r="M322" s="8">
        <v>6.6</v>
      </c>
      <c r="N322" s="8">
        <v>6.3</v>
      </c>
      <c r="O322" s="8">
        <v>300.14999999999998</v>
      </c>
      <c r="P322" s="8">
        <v>1</v>
      </c>
      <c r="Q322" s="8" t="s">
        <v>1087</v>
      </c>
    </row>
    <row r="323" spans="1:17" x14ac:dyDescent="0.45">
      <c r="A323" s="8">
        <v>61.9</v>
      </c>
      <c r="B323" s="8">
        <v>35850.449999999997</v>
      </c>
      <c r="C323" s="8">
        <v>695</v>
      </c>
      <c r="D323" s="8">
        <v>1</v>
      </c>
      <c r="E323" s="8">
        <v>0</v>
      </c>
      <c r="F323" s="8">
        <v>257</v>
      </c>
      <c r="G323" s="8">
        <v>498.13</v>
      </c>
      <c r="H323" s="8">
        <v>9629.85</v>
      </c>
      <c r="I323" s="8">
        <v>22127.71</v>
      </c>
      <c r="J323" s="8">
        <v>4521</v>
      </c>
      <c r="K323" s="8">
        <v>257</v>
      </c>
      <c r="L323" s="8">
        <v>4453.1099999999997</v>
      </c>
      <c r="M323" s="8">
        <v>6.5</v>
      </c>
      <c r="N323" s="8">
        <v>5.0999999999999996</v>
      </c>
      <c r="O323" s="8">
        <v>471.42</v>
      </c>
      <c r="P323" s="8">
        <v>1</v>
      </c>
      <c r="Q323" s="8" t="s">
        <v>1087</v>
      </c>
    </row>
    <row r="324" spans="1:17" x14ac:dyDescent="0.45">
      <c r="A324" s="8">
        <v>59.9</v>
      </c>
      <c r="B324" s="8">
        <v>49191.05</v>
      </c>
      <c r="C324" s="8">
        <v>510</v>
      </c>
      <c r="D324" s="8">
        <v>0</v>
      </c>
      <c r="E324" s="8">
        <v>1</v>
      </c>
      <c r="F324" s="8">
        <v>274</v>
      </c>
      <c r="G324" s="8">
        <v>545.84</v>
      </c>
      <c r="H324" s="8">
        <v>39195.769999999997</v>
      </c>
      <c r="I324" s="8">
        <v>39698.120000000003</v>
      </c>
      <c r="J324" s="8">
        <v>3000</v>
      </c>
      <c r="K324" s="8">
        <v>274</v>
      </c>
      <c r="L324" s="8">
        <v>2930.11</v>
      </c>
      <c r="M324" s="8">
        <v>0.5</v>
      </c>
      <c r="N324" s="8">
        <v>6.2</v>
      </c>
      <c r="O324" s="8">
        <v>505.23</v>
      </c>
      <c r="P324" s="8">
        <v>1</v>
      </c>
      <c r="Q324" s="8" t="s">
        <v>1087</v>
      </c>
    </row>
    <row r="325" spans="1:17" x14ac:dyDescent="0.45">
      <c r="A325" s="8">
        <v>53.8</v>
      </c>
      <c r="B325" s="8">
        <v>104943.7</v>
      </c>
      <c r="C325" s="8">
        <v>655</v>
      </c>
      <c r="D325" s="8">
        <v>1</v>
      </c>
      <c r="E325" s="8">
        <v>0</v>
      </c>
      <c r="F325" s="8">
        <v>65</v>
      </c>
      <c r="G325" s="8">
        <v>546.24</v>
      </c>
      <c r="H325" s="8">
        <v>97896.07</v>
      </c>
      <c r="I325" s="8">
        <v>81204.2</v>
      </c>
      <c r="J325" s="8">
        <v>3211</v>
      </c>
      <c r="K325" s="8">
        <v>65</v>
      </c>
      <c r="L325" s="8">
        <v>7497.67</v>
      </c>
      <c r="M325" s="8">
        <v>2.4</v>
      </c>
      <c r="N325" s="8">
        <v>5.3</v>
      </c>
      <c r="O325" s="8">
        <v>521.34</v>
      </c>
      <c r="P325" s="8">
        <v>1</v>
      </c>
      <c r="Q325" s="8" t="s">
        <v>1087</v>
      </c>
    </row>
    <row r="326" spans="1:17" x14ac:dyDescent="0.45">
      <c r="A326" s="8">
        <v>51.8</v>
      </c>
      <c r="B326" s="8">
        <v>85511.4</v>
      </c>
      <c r="C326" s="8">
        <v>752</v>
      </c>
      <c r="D326" s="8">
        <v>1</v>
      </c>
      <c r="E326" s="8">
        <v>0</v>
      </c>
      <c r="F326" s="8">
        <v>233</v>
      </c>
      <c r="G326" s="8">
        <v>557.95000000000005</v>
      </c>
      <c r="H326" s="8">
        <v>14085</v>
      </c>
      <c r="I326" s="8">
        <v>61706.36</v>
      </c>
      <c r="J326" s="8">
        <v>4083</v>
      </c>
      <c r="K326" s="8">
        <v>233</v>
      </c>
      <c r="L326" s="8">
        <v>8745.4</v>
      </c>
      <c r="M326" s="8">
        <v>7.6</v>
      </c>
      <c r="N326" s="8">
        <v>6.1</v>
      </c>
      <c r="O326" s="8">
        <v>496.72</v>
      </c>
      <c r="P326" s="8">
        <v>1</v>
      </c>
      <c r="Q326" s="8" t="s">
        <v>1087</v>
      </c>
    </row>
    <row r="327" spans="1:17" x14ac:dyDescent="0.45">
      <c r="A327" s="8">
        <v>52.6</v>
      </c>
      <c r="B327" s="8">
        <v>94739.91</v>
      </c>
      <c r="C327" s="8">
        <v>698</v>
      </c>
      <c r="D327" s="8">
        <v>0</v>
      </c>
      <c r="E327" s="8">
        <v>0</v>
      </c>
      <c r="F327" s="8">
        <v>25</v>
      </c>
      <c r="G327" s="8">
        <v>564.24</v>
      </c>
      <c r="H327" s="8">
        <v>36924.15</v>
      </c>
      <c r="I327" s="8">
        <v>75085.83</v>
      </c>
      <c r="J327" s="8">
        <v>3257</v>
      </c>
      <c r="K327" s="8">
        <v>25</v>
      </c>
      <c r="L327" s="8">
        <v>3857.77</v>
      </c>
      <c r="M327" s="8">
        <v>5.6</v>
      </c>
      <c r="N327" s="8">
        <v>3.2</v>
      </c>
      <c r="O327" s="8">
        <v>369.92</v>
      </c>
      <c r="P327" s="8">
        <v>1</v>
      </c>
      <c r="Q327" s="8" t="s">
        <v>1087</v>
      </c>
    </row>
    <row r="328" spans="1:17" x14ac:dyDescent="0.45">
      <c r="A328" s="8">
        <v>53.9</v>
      </c>
      <c r="B328" s="8">
        <v>125041.34</v>
      </c>
      <c r="C328" s="8">
        <v>609</v>
      </c>
      <c r="D328" s="8">
        <v>1</v>
      </c>
      <c r="E328" s="8">
        <v>1</v>
      </c>
      <c r="F328" s="8">
        <v>280</v>
      </c>
      <c r="G328" s="8">
        <v>570.79999999999995</v>
      </c>
      <c r="H328" s="8">
        <v>12890.56</v>
      </c>
      <c r="I328" s="8">
        <v>64193.19</v>
      </c>
      <c r="J328" s="8">
        <v>2598</v>
      </c>
      <c r="K328" s="8">
        <v>280</v>
      </c>
      <c r="L328" s="8">
        <v>3394.11</v>
      </c>
      <c r="M328" s="8">
        <v>5.8</v>
      </c>
      <c r="N328" s="8">
        <v>4.4000000000000004</v>
      </c>
      <c r="O328" s="8">
        <v>381.58</v>
      </c>
      <c r="P328" s="8">
        <v>1</v>
      </c>
      <c r="Q328" s="8" t="s">
        <v>1087</v>
      </c>
    </row>
    <row r="329" spans="1:17" x14ac:dyDescent="0.45">
      <c r="A329" s="8">
        <v>82.3</v>
      </c>
      <c r="B329" s="8">
        <v>28040.77</v>
      </c>
      <c r="C329" s="8">
        <v>745</v>
      </c>
      <c r="D329" s="8">
        <v>0</v>
      </c>
      <c r="E329" s="8">
        <v>1</v>
      </c>
      <c r="F329" s="8">
        <v>82</v>
      </c>
      <c r="G329" s="8">
        <v>572.64</v>
      </c>
      <c r="H329" s="8">
        <v>12357.02</v>
      </c>
      <c r="I329" s="8">
        <v>15000</v>
      </c>
      <c r="J329" s="8">
        <v>3118</v>
      </c>
      <c r="K329" s="8">
        <v>82</v>
      </c>
      <c r="L329" s="8">
        <v>7357.01</v>
      </c>
      <c r="M329" s="8">
        <v>6</v>
      </c>
      <c r="N329" s="8">
        <v>5.8</v>
      </c>
      <c r="O329" s="8">
        <v>308.55</v>
      </c>
      <c r="P329" s="8">
        <v>1</v>
      </c>
      <c r="Q329" s="8" t="s">
        <v>1087</v>
      </c>
    </row>
    <row r="330" spans="1:17" x14ac:dyDescent="0.45">
      <c r="A330" s="8">
        <v>75.3</v>
      </c>
      <c r="B330" s="8">
        <v>63200.36</v>
      </c>
      <c r="C330" s="8">
        <v>766</v>
      </c>
      <c r="D330" s="8">
        <v>0</v>
      </c>
      <c r="E330" s="8">
        <v>1</v>
      </c>
      <c r="F330" s="8">
        <v>229</v>
      </c>
      <c r="G330" s="8">
        <v>590.53</v>
      </c>
      <c r="H330" s="8">
        <v>11.96</v>
      </c>
      <c r="I330" s="8">
        <v>63200.36</v>
      </c>
      <c r="J330" s="8">
        <v>3190</v>
      </c>
      <c r="K330" s="8">
        <v>229</v>
      </c>
      <c r="L330" s="8">
        <v>4832.46</v>
      </c>
      <c r="M330" s="8">
        <v>0.8</v>
      </c>
      <c r="N330" s="8">
        <v>5.6</v>
      </c>
      <c r="O330" s="8">
        <v>341.7</v>
      </c>
      <c r="P330" s="8">
        <v>1</v>
      </c>
      <c r="Q330" s="8" t="s">
        <v>1087</v>
      </c>
    </row>
    <row r="331" spans="1:17" x14ac:dyDescent="0.45">
      <c r="A331" s="8">
        <v>54.9</v>
      </c>
      <c r="B331" s="8">
        <v>80458.09</v>
      </c>
      <c r="C331" s="8">
        <v>645</v>
      </c>
      <c r="D331" s="8">
        <v>1</v>
      </c>
      <c r="E331" s="8">
        <v>1</v>
      </c>
      <c r="F331" s="8">
        <v>198</v>
      </c>
      <c r="G331" s="8">
        <v>597.62</v>
      </c>
      <c r="H331" s="8">
        <v>13205.64</v>
      </c>
      <c r="I331" s="8">
        <v>15000</v>
      </c>
      <c r="J331" s="8">
        <v>710</v>
      </c>
      <c r="K331" s="8">
        <v>198</v>
      </c>
      <c r="L331" s="8">
        <v>2801.9</v>
      </c>
      <c r="M331" s="8">
        <v>3.1</v>
      </c>
      <c r="N331" s="8">
        <v>6.9</v>
      </c>
      <c r="O331" s="8">
        <v>466.21</v>
      </c>
      <c r="P331" s="8">
        <v>1</v>
      </c>
      <c r="Q331" s="8" t="s">
        <v>1087</v>
      </c>
    </row>
    <row r="332" spans="1:17" x14ac:dyDescent="0.45">
      <c r="A332" s="8">
        <v>49.8</v>
      </c>
      <c r="B332" s="8">
        <v>86113.9</v>
      </c>
      <c r="C332" s="8">
        <v>709</v>
      </c>
      <c r="D332" s="8">
        <v>1</v>
      </c>
      <c r="E332" s="8">
        <v>1</v>
      </c>
      <c r="F332" s="8">
        <v>46</v>
      </c>
      <c r="G332" s="8">
        <v>615.9</v>
      </c>
      <c r="H332" s="8">
        <v>7204.09</v>
      </c>
      <c r="I332" s="8">
        <v>50599.16</v>
      </c>
      <c r="J332" s="8">
        <v>4983</v>
      </c>
      <c r="K332" s="8">
        <v>46</v>
      </c>
      <c r="L332" s="8">
        <v>9138.51</v>
      </c>
      <c r="M332" s="8">
        <v>2.7</v>
      </c>
      <c r="N332" s="8">
        <v>3.7</v>
      </c>
      <c r="O332" s="8">
        <v>391.42</v>
      </c>
      <c r="P332" s="8">
        <v>1</v>
      </c>
      <c r="Q332" s="8" t="s">
        <v>1087</v>
      </c>
    </row>
    <row r="333" spans="1:17" x14ac:dyDescent="0.45">
      <c r="A333" s="8">
        <v>59.7</v>
      </c>
      <c r="B333" s="8">
        <v>70351.92</v>
      </c>
      <c r="C333" s="8">
        <v>608</v>
      </c>
      <c r="D333" s="8">
        <v>0</v>
      </c>
      <c r="E333" s="8">
        <v>0</v>
      </c>
      <c r="F333" s="8">
        <v>114</v>
      </c>
      <c r="G333" s="8">
        <v>616.23</v>
      </c>
      <c r="H333" s="8">
        <v>15542.71</v>
      </c>
      <c r="I333" s="8">
        <v>43807.93</v>
      </c>
      <c r="J333" s="8">
        <v>4868</v>
      </c>
      <c r="K333" s="8">
        <v>114</v>
      </c>
      <c r="L333" s="8">
        <v>4067.04</v>
      </c>
      <c r="M333" s="8">
        <v>9.4</v>
      </c>
      <c r="N333" s="8">
        <v>4.9000000000000004</v>
      </c>
      <c r="O333" s="8">
        <v>610.55999999999995</v>
      </c>
      <c r="P333" s="8">
        <v>1</v>
      </c>
      <c r="Q333" s="8" t="s">
        <v>1087</v>
      </c>
    </row>
    <row r="334" spans="1:17" x14ac:dyDescent="0.45">
      <c r="A334" s="8">
        <v>67.400000000000006</v>
      </c>
      <c r="B334" s="8">
        <v>52715.42</v>
      </c>
      <c r="C334" s="8">
        <v>745</v>
      </c>
      <c r="D334" s="8">
        <v>0</v>
      </c>
      <c r="E334" s="8">
        <v>0</v>
      </c>
      <c r="F334" s="8">
        <v>159</v>
      </c>
      <c r="G334" s="8">
        <v>628.72</v>
      </c>
      <c r="H334" s="8">
        <v>5714.74</v>
      </c>
      <c r="I334" s="8">
        <v>34991.85</v>
      </c>
      <c r="J334" s="8">
        <v>43</v>
      </c>
      <c r="K334" s="8">
        <v>159</v>
      </c>
      <c r="L334" s="8">
        <v>799.02</v>
      </c>
      <c r="M334" s="8">
        <v>1.4</v>
      </c>
      <c r="N334" s="8">
        <v>5.8</v>
      </c>
      <c r="O334" s="8">
        <v>388.43</v>
      </c>
      <c r="P334" s="8">
        <v>1</v>
      </c>
      <c r="Q334" s="8" t="s">
        <v>1087</v>
      </c>
    </row>
    <row r="335" spans="1:17" x14ac:dyDescent="0.45">
      <c r="A335" s="8">
        <v>24.1</v>
      </c>
      <c r="B335" s="8">
        <v>104327.4</v>
      </c>
      <c r="C335" s="8">
        <v>627</v>
      </c>
      <c r="D335" s="8">
        <v>1</v>
      </c>
      <c r="E335" s="8">
        <v>1</v>
      </c>
      <c r="F335" s="8">
        <v>180</v>
      </c>
      <c r="G335" s="8">
        <v>634.13</v>
      </c>
      <c r="H335" s="8">
        <v>28140.85</v>
      </c>
      <c r="I335" s="8">
        <v>71218.39</v>
      </c>
      <c r="J335" s="8">
        <v>3967</v>
      </c>
      <c r="K335" s="8">
        <v>180</v>
      </c>
      <c r="L335" s="8">
        <v>8940.7900000000009</v>
      </c>
      <c r="M335" s="8">
        <v>3.1</v>
      </c>
      <c r="N335" s="8">
        <v>1.3</v>
      </c>
      <c r="O335" s="8">
        <v>342.08</v>
      </c>
      <c r="P335" s="8">
        <v>1</v>
      </c>
      <c r="Q335" s="8" t="s">
        <v>1087</v>
      </c>
    </row>
    <row r="336" spans="1:17" x14ac:dyDescent="0.45">
      <c r="A336" s="8">
        <v>53.7</v>
      </c>
      <c r="B336" s="8">
        <v>116481.52</v>
      </c>
      <c r="C336" s="8">
        <v>571</v>
      </c>
      <c r="D336" s="8">
        <v>1</v>
      </c>
      <c r="E336" s="8">
        <v>0</v>
      </c>
      <c r="F336" s="8">
        <v>225</v>
      </c>
      <c r="G336" s="8">
        <v>670.04</v>
      </c>
      <c r="H336" s="8">
        <v>14290.29</v>
      </c>
      <c r="I336" s="8">
        <v>86426.08</v>
      </c>
      <c r="J336" s="8">
        <v>2151</v>
      </c>
      <c r="K336" s="8">
        <v>225</v>
      </c>
      <c r="L336" s="8">
        <v>6886.42</v>
      </c>
      <c r="M336" s="8">
        <v>0.6</v>
      </c>
      <c r="N336" s="8">
        <v>5.6</v>
      </c>
      <c r="O336" s="8">
        <v>539.91</v>
      </c>
      <c r="P336" s="8">
        <v>1</v>
      </c>
      <c r="Q336" s="8" t="s">
        <v>1087</v>
      </c>
    </row>
    <row r="337" spans="1:17" x14ac:dyDescent="0.45">
      <c r="A337" s="8">
        <v>26.7</v>
      </c>
      <c r="B337" s="8">
        <v>104707.68</v>
      </c>
      <c r="C337" s="8">
        <v>603</v>
      </c>
      <c r="D337" s="8">
        <v>1</v>
      </c>
      <c r="E337" s="8">
        <v>0</v>
      </c>
      <c r="F337" s="8">
        <v>49</v>
      </c>
      <c r="G337" s="8">
        <v>672.08</v>
      </c>
      <c r="H337" s="8">
        <v>8170.54</v>
      </c>
      <c r="I337" s="8">
        <v>76589.5</v>
      </c>
      <c r="J337" s="8">
        <v>3229</v>
      </c>
      <c r="K337" s="8">
        <v>49</v>
      </c>
      <c r="L337" s="8">
        <v>6700.14</v>
      </c>
      <c r="M337" s="8">
        <v>5.5</v>
      </c>
      <c r="N337" s="8">
        <v>4.2</v>
      </c>
      <c r="O337" s="8">
        <v>516.46</v>
      </c>
      <c r="P337" s="8">
        <v>1</v>
      </c>
      <c r="Q337" s="8" t="s">
        <v>1087</v>
      </c>
    </row>
    <row r="338" spans="1:17" x14ac:dyDescent="0.45">
      <c r="A338" s="8">
        <v>57.1</v>
      </c>
      <c r="B338" s="8">
        <v>109881.52</v>
      </c>
      <c r="C338" s="8">
        <v>548</v>
      </c>
      <c r="D338" s="8">
        <v>0</v>
      </c>
      <c r="E338" s="8">
        <v>0</v>
      </c>
      <c r="F338" s="8">
        <v>43</v>
      </c>
      <c r="G338" s="8">
        <v>682.59</v>
      </c>
      <c r="H338" s="8">
        <v>22125.98</v>
      </c>
      <c r="I338" s="8">
        <v>79307.95</v>
      </c>
      <c r="J338" s="8">
        <v>922</v>
      </c>
      <c r="K338" s="8">
        <v>43</v>
      </c>
      <c r="L338" s="8">
        <v>6154.76</v>
      </c>
      <c r="M338" s="8">
        <v>4.5</v>
      </c>
      <c r="N338" s="8">
        <v>7.3</v>
      </c>
      <c r="O338" s="8">
        <v>569.6</v>
      </c>
      <c r="P338" s="8">
        <v>1</v>
      </c>
      <c r="Q338" s="8" t="s">
        <v>1087</v>
      </c>
    </row>
    <row r="339" spans="1:17" x14ac:dyDescent="0.45">
      <c r="A339" s="8">
        <v>68.599999999999994</v>
      </c>
      <c r="B339" s="8">
        <v>54746.02</v>
      </c>
      <c r="C339" s="8">
        <v>720</v>
      </c>
      <c r="D339" s="8">
        <v>0</v>
      </c>
      <c r="E339" s="8">
        <v>1</v>
      </c>
      <c r="F339" s="8">
        <v>167</v>
      </c>
      <c r="G339" s="8">
        <v>705.41</v>
      </c>
      <c r="H339" s="8">
        <v>215.46</v>
      </c>
      <c r="I339" s="8">
        <v>40376.69</v>
      </c>
      <c r="J339" s="8">
        <v>3157</v>
      </c>
      <c r="K339" s="8">
        <v>167</v>
      </c>
      <c r="L339" s="8">
        <v>7454</v>
      </c>
      <c r="M339" s="8">
        <v>4.0999999999999996</v>
      </c>
      <c r="N339" s="8">
        <v>5.2</v>
      </c>
      <c r="O339" s="8">
        <v>546.95000000000005</v>
      </c>
      <c r="P339" s="8">
        <v>1</v>
      </c>
      <c r="Q339" s="8" t="s">
        <v>1087</v>
      </c>
    </row>
    <row r="340" spans="1:17" x14ac:dyDescent="0.45">
      <c r="A340" s="8">
        <v>41.5</v>
      </c>
      <c r="B340" s="8">
        <v>108600.47</v>
      </c>
      <c r="C340" s="8">
        <v>706</v>
      </c>
      <c r="D340" s="8">
        <v>0</v>
      </c>
      <c r="E340" s="8">
        <v>0</v>
      </c>
      <c r="F340" s="8">
        <v>87</v>
      </c>
      <c r="G340" s="8">
        <v>713.54</v>
      </c>
      <c r="H340" s="8">
        <v>13886.13</v>
      </c>
      <c r="I340" s="8">
        <v>56375.519999999997</v>
      </c>
      <c r="J340" s="8">
        <v>3999</v>
      </c>
      <c r="K340" s="8">
        <v>87</v>
      </c>
      <c r="L340" s="8">
        <v>1293.8699999999999</v>
      </c>
      <c r="M340" s="8">
        <v>7</v>
      </c>
      <c r="N340" s="8">
        <v>8.1999999999999993</v>
      </c>
      <c r="O340" s="8">
        <v>485.32</v>
      </c>
      <c r="P340" s="8">
        <v>1</v>
      </c>
      <c r="Q340" s="8" t="s">
        <v>1087</v>
      </c>
    </row>
    <row r="341" spans="1:17" x14ac:dyDescent="0.45">
      <c r="A341" s="8">
        <v>64.400000000000006</v>
      </c>
      <c r="B341" s="8">
        <v>70210.53</v>
      </c>
      <c r="C341" s="8">
        <v>593</v>
      </c>
      <c r="D341" s="8">
        <v>0</v>
      </c>
      <c r="E341" s="8">
        <v>0</v>
      </c>
      <c r="F341" s="8">
        <v>87</v>
      </c>
      <c r="G341" s="8">
        <v>716.71</v>
      </c>
      <c r="H341" s="8">
        <v>18542.63</v>
      </c>
      <c r="I341" s="8">
        <v>51584.76</v>
      </c>
      <c r="J341" s="8">
        <v>1105</v>
      </c>
      <c r="K341" s="8">
        <v>87</v>
      </c>
      <c r="L341" s="8">
        <v>7056.01</v>
      </c>
      <c r="M341" s="8">
        <v>4.2</v>
      </c>
      <c r="N341" s="8">
        <v>3.4</v>
      </c>
      <c r="O341" s="8">
        <v>490.23</v>
      </c>
      <c r="P341" s="8">
        <v>1</v>
      </c>
      <c r="Q341" s="8" t="s">
        <v>1087</v>
      </c>
    </row>
    <row r="342" spans="1:17" x14ac:dyDescent="0.45">
      <c r="A342" s="8">
        <v>48.1</v>
      </c>
      <c r="B342" s="8">
        <v>83543.839999999997</v>
      </c>
      <c r="C342" s="8">
        <v>593</v>
      </c>
      <c r="D342" s="8">
        <v>1</v>
      </c>
      <c r="E342" s="8">
        <v>0</v>
      </c>
      <c r="F342" s="8">
        <v>235</v>
      </c>
      <c r="G342" s="8">
        <v>722.13</v>
      </c>
      <c r="H342" s="8">
        <v>24508.83</v>
      </c>
      <c r="I342" s="8">
        <v>47414.73</v>
      </c>
      <c r="J342" s="8">
        <v>1633</v>
      </c>
      <c r="K342" s="8">
        <v>235</v>
      </c>
      <c r="L342" s="8">
        <v>9623.3799999999992</v>
      </c>
      <c r="M342" s="8">
        <v>2.5</v>
      </c>
      <c r="N342" s="8">
        <v>5.2</v>
      </c>
      <c r="O342" s="8">
        <v>673.38</v>
      </c>
      <c r="P342" s="8">
        <v>1</v>
      </c>
      <c r="Q342" s="8" t="s">
        <v>1087</v>
      </c>
    </row>
    <row r="343" spans="1:17" x14ac:dyDescent="0.45">
      <c r="A343" s="8">
        <v>31.4</v>
      </c>
      <c r="B343" s="8">
        <v>46360.59</v>
      </c>
      <c r="C343" s="8">
        <v>663</v>
      </c>
      <c r="D343" s="8">
        <v>1</v>
      </c>
      <c r="E343" s="8">
        <v>0</v>
      </c>
      <c r="F343" s="8">
        <v>291</v>
      </c>
      <c r="G343" s="8">
        <v>727.97</v>
      </c>
      <c r="H343" s="8">
        <v>22472.03</v>
      </c>
      <c r="I343" s="8">
        <v>34848.44</v>
      </c>
      <c r="J343" s="8">
        <v>3713</v>
      </c>
      <c r="K343" s="8">
        <v>291</v>
      </c>
      <c r="L343" s="8">
        <v>884.88</v>
      </c>
      <c r="M343" s="8">
        <v>1.4</v>
      </c>
      <c r="N343" s="8">
        <v>7.6</v>
      </c>
      <c r="O343" s="8">
        <v>690.57</v>
      </c>
      <c r="P343" s="8">
        <v>1</v>
      </c>
      <c r="Q343" s="8" t="s">
        <v>1087</v>
      </c>
    </row>
    <row r="344" spans="1:17" x14ac:dyDescent="0.45">
      <c r="A344" s="8">
        <v>46.3</v>
      </c>
      <c r="B344" s="8">
        <v>104902.15</v>
      </c>
      <c r="C344" s="8">
        <v>627</v>
      </c>
      <c r="D344" s="8">
        <v>0</v>
      </c>
      <c r="E344" s="8">
        <v>0</v>
      </c>
      <c r="F344" s="8">
        <v>32</v>
      </c>
      <c r="G344" s="8">
        <v>738.99</v>
      </c>
      <c r="H344" s="8">
        <v>23556.39</v>
      </c>
      <c r="I344" s="8">
        <v>46837.67</v>
      </c>
      <c r="J344" s="8">
        <v>845</v>
      </c>
      <c r="K344" s="8">
        <v>32</v>
      </c>
      <c r="L344" s="8">
        <v>9340.17</v>
      </c>
      <c r="M344" s="8">
        <v>4.5</v>
      </c>
      <c r="N344" s="8">
        <v>6.4</v>
      </c>
      <c r="O344" s="8">
        <v>481.3</v>
      </c>
      <c r="P344" s="8">
        <v>1</v>
      </c>
      <c r="Q344" s="8" t="s">
        <v>1087</v>
      </c>
    </row>
    <row r="345" spans="1:17" x14ac:dyDescent="0.45">
      <c r="A345" s="8">
        <v>48.3</v>
      </c>
      <c r="B345" s="8">
        <v>94751.45</v>
      </c>
      <c r="C345" s="8">
        <v>704</v>
      </c>
      <c r="D345" s="8">
        <v>1</v>
      </c>
      <c r="E345" s="8">
        <v>0</v>
      </c>
      <c r="F345" s="8">
        <v>80</v>
      </c>
      <c r="G345" s="8">
        <v>823.4</v>
      </c>
      <c r="H345" s="8">
        <v>22514.74</v>
      </c>
      <c r="I345" s="8">
        <v>73869.58</v>
      </c>
      <c r="J345" s="8">
        <v>1909</v>
      </c>
      <c r="K345" s="8">
        <v>80</v>
      </c>
      <c r="L345" s="8">
        <v>2404.69</v>
      </c>
      <c r="M345" s="8">
        <v>3</v>
      </c>
      <c r="N345" s="8">
        <v>9.8000000000000007</v>
      </c>
      <c r="O345" s="8">
        <v>802.39</v>
      </c>
      <c r="P345" s="8">
        <v>1</v>
      </c>
      <c r="Q345" s="8" t="s">
        <v>1087</v>
      </c>
    </row>
    <row r="346" spans="1:17" x14ac:dyDescent="0.45">
      <c r="A346" s="8">
        <v>32.1</v>
      </c>
      <c r="B346" s="8">
        <v>76262.98</v>
      </c>
      <c r="C346" s="8">
        <v>603</v>
      </c>
      <c r="D346" s="8">
        <v>1</v>
      </c>
      <c r="E346" s="8">
        <v>0</v>
      </c>
      <c r="F346" s="8">
        <v>271</v>
      </c>
      <c r="G346" s="8">
        <v>826.51</v>
      </c>
      <c r="H346" s="8">
        <v>3990.78</v>
      </c>
      <c r="I346" s="8">
        <v>49518.23</v>
      </c>
      <c r="J346" s="8">
        <v>3017</v>
      </c>
      <c r="K346" s="8">
        <v>271</v>
      </c>
      <c r="L346" s="8">
        <v>2875.29</v>
      </c>
      <c r="M346" s="8">
        <v>3.9</v>
      </c>
      <c r="N346" s="8">
        <v>7.5</v>
      </c>
      <c r="O346" s="8">
        <v>439.33</v>
      </c>
      <c r="P346" s="8">
        <v>1</v>
      </c>
      <c r="Q346" s="8" t="s">
        <v>1087</v>
      </c>
    </row>
    <row r="347" spans="1:17" x14ac:dyDescent="0.45">
      <c r="A347" s="8">
        <v>57.1</v>
      </c>
      <c r="B347" s="8">
        <v>62936.78</v>
      </c>
      <c r="C347" s="8">
        <v>663</v>
      </c>
      <c r="D347" s="8">
        <v>1</v>
      </c>
      <c r="E347" s="8">
        <v>0</v>
      </c>
      <c r="F347" s="8">
        <v>61</v>
      </c>
      <c r="G347" s="8">
        <v>835.8</v>
      </c>
      <c r="H347" s="8">
        <v>76535.88</v>
      </c>
      <c r="I347" s="8">
        <v>51814.35</v>
      </c>
      <c r="J347" s="8">
        <v>123</v>
      </c>
      <c r="K347" s="8">
        <v>61</v>
      </c>
      <c r="L347" s="8">
        <v>6388.17</v>
      </c>
      <c r="M347" s="8">
        <v>3.9</v>
      </c>
      <c r="N347" s="8">
        <v>5.6</v>
      </c>
      <c r="O347" s="8">
        <v>676.18</v>
      </c>
      <c r="P347" s="8">
        <v>1</v>
      </c>
      <c r="Q347" s="8" t="s">
        <v>1087</v>
      </c>
    </row>
    <row r="348" spans="1:17" x14ac:dyDescent="0.45">
      <c r="A348" s="8">
        <v>25.9</v>
      </c>
      <c r="B348" s="8">
        <v>66705.179999999993</v>
      </c>
      <c r="C348" s="8">
        <v>608</v>
      </c>
      <c r="D348" s="8">
        <v>0</v>
      </c>
      <c r="E348" s="8">
        <v>1</v>
      </c>
      <c r="F348" s="8">
        <v>38</v>
      </c>
      <c r="G348" s="8">
        <v>861.59</v>
      </c>
      <c r="H348" s="8">
        <v>140.13999999999999</v>
      </c>
      <c r="I348" s="8">
        <v>49283.97</v>
      </c>
      <c r="J348" s="8">
        <v>4248</v>
      </c>
      <c r="K348" s="8">
        <v>38</v>
      </c>
      <c r="L348" s="8">
        <v>1982.76</v>
      </c>
      <c r="M348" s="8">
        <v>5.8</v>
      </c>
      <c r="N348" s="8">
        <v>2</v>
      </c>
      <c r="O348" s="8">
        <v>840.2</v>
      </c>
      <c r="P348" s="8">
        <v>1</v>
      </c>
      <c r="Q348" s="8" t="s">
        <v>1087</v>
      </c>
    </row>
    <row r="349" spans="1:17" x14ac:dyDescent="0.45">
      <c r="A349" s="8">
        <v>63</v>
      </c>
      <c r="B349" s="8">
        <v>122754.98</v>
      </c>
      <c r="C349" s="8">
        <v>755</v>
      </c>
      <c r="D349" s="8">
        <v>0</v>
      </c>
      <c r="E349" s="8">
        <v>0</v>
      </c>
      <c r="F349" s="8">
        <v>95</v>
      </c>
      <c r="G349" s="8">
        <v>880.32</v>
      </c>
      <c r="H349" s="8">
        <v>4429.01</v>
      </c>
      <c r="I349" s="8">
        <v>82286.429999999993</v>
      </c>
      <c r="J349" s="8">
        <v>301</v>
      </c>
      <c r="K349" s="8">
        <v>95</v>
      </c>
      <c r="L349" s="8">
        <v>2984.56</v>
      </c>
      <c r="M349" s="8">
        <v>7.2</v>
      </c>
      <c r="N349" s="8">
        <v>2.4</v>
      </c>
      <c r="O349" s="8">
        <v>649.51</v>
      </c>
      <c r="P349" s="8">
        <v>1</v>
      </c>
      <c r="Q349" s="8" t="s">
        <v>1087</v>
      </c>
    </row>
    <row r="350" spans="1:17" x14ac:dyDescent="0.45">
      <c r="A350" s="8">
        <v>44.1</v>
      </c>
      <c r="B350" s="8">
        <v>54463.360000000001</v>
      </c>
      <c r="C350" s="8">
        <v>693</v>
      </c>
      <c r="D350" s="8">
        <v>1</v>
      </c>
      <c r="E350" s="8">
        <v>0</v>
      </c>
      <c r="F350" s="8">
        <v>128</v>
      </c>
      <c r="G350" s="8">
        <v>888.65</v>
      </c>
      <c r="H350" s="8">
        <v>17060.02</v>
      </c>
      <c r="I350" s="8">
        <v>44542.45</v>
      </c>
      <c r="J350" s="8">
        <v>710</v>
      </c>
      <c r="K350" s="8">
        <v>128</v>
      </c>
      <c r="L350" s="8">
        <v>556.29999999999995</v>
      </c>
      <c r="M350" s="8">
        <v>4</v>
      </c>
      <c r="N350" s="8">
        <v>9.5</v>
      </c>
      <c r="O350" s="8">
        <v>449.68</v>
      </c>
      <c r="P350" s="8">
        <v>1</v>
      </c>
      <c r="Q350" s="8" t="s">
        <v>1087</v>
      </c>
    </row>
    <row r="351" spans="1:17" x14ac:dyDescent="0.45">
      <c r="A351" s="8">
        <v>20.6</v>
      </c>
      <c r="B351" s="8">
        <v>122502.06</v>
      </c>
      <c r="C351" s="8">
        <v>710</v>
      </c>
      <c r="D351" s="8">
        <v>0</v>
      </c>
      <c r="E351" s="8">
        <v>1</v>
      </c>
      <c r="F351" s="8">
        <v>234</v>
      </c>
      <c r="G351" s="8">
        <v>896.38</v>
      </c>
      <c r="H351" s="8">
        <v>60128.92</v>
      </c>
      <c r="I351" s="8">
        <v>74958.210000000006</v>
      </c>
      <c r="J351" s="8">
        <v>1011</v>
      </c>
      <c r="K351" s="8">
        <v>234</v>
      </c>
      <c r="L351" s="8">
        <v>2997.14</v>
      </c>
      <c r="M351" s="8">
        <v>6.4</v>
      </c>
      <c r="N351" s="8">
        <v>2.5</v>
      </c>
      <c r="O351" s="8">
        <v>716.98</v>
      </c>
      <c r="P351" s="8">
        <v>1</v>
      </c>
      <c r="Q351" s="8" t="s">
        <v>1087</v>
      </c>
    </row>
    <row r="352" spans="1:17" x14ac:dyDescent="0.45">
      <c r="A352" s="8">
        <v>47.6</v>
      </c>
      <c r="B352" s="8">
        <v>76056.28</v>
      </c>
      <c r="C352" s="8">
        <v>550</v>
      </c>
      <c r="D352" s="8">
        <v>0</v>
      </c>
      <c r="E352" s="8">
        <v>1</v>
      </c>
      <c r="F352" s="8">
        <v>97</v>
      </c>
      <c r="G352" s="8">
        <v>897.79</v>
      </c>
      <c r="H352" s="8">
        <v>7506.08</v>
      </c>
      <c r="I352" s="8">
        <v>40921.21</v>
      </c>
      <c r="J352" s="8">
        <v>4861</v>
      </c>
      <c r="K352" s="8">
        <v>97</v>
      </c>
      <c r="L352" s="8">
        <v>2712.51</v>
      </c>
      <c r="M352" s="8">
        <v>1.8</v>
      </c>
      <c r="N352" s="8">
        <v>8.1</v>
      </c>
      <c r="O352" s="8">
        <v>785.04</v>
      </c>
      <c r="P352" s="8">
        <v>1</v>
      </c>
      <c r="Q352" s="8" t="s">
        <v>1087</v>
      </c>
    </row>
    <row r="353" spans="1:17" x14ac:dyDescent="0.45">
      <c r="A353" s="8">
        <v>63.2</v>
      </c>
      <c r="B353" s="8">
        <v>91266.39</v>
      </c>
      <c r="C353" s="8">
        <v>795</v>
      </c>
      <c r="D353" s="8">
        <v>0</v>
      </c>
      <c r="E353" s="8">
        <v>0</v>
      </c>
      <c r="F353" s="8">
        <v>64</v>
      </c>
      <c r="G353" s="8">
        <v>906.9</v>
      </c>
      <c r="H353" s="8">
        <v>7358.16</v>
      </c>
      <c r="I353" s="8">
        <v>70035.649999999994</v>
      </c>
      <c r="J353" s="8">
        <v>4835</v>
      </c>
      <c r="K353" s="8">
        <v>64</v>
      </c>
      <c r="L353" s="8">
        <v>3316.85</v>
      </c>
      <c r="M353" s="8">
        <v>0.5</v>
      </c>
      <c r="N353" s="8">
        <v>3.7</v>
      </c>
      <c r="O353" s="8">
        <v>744.9</v>
      </c>
      <c r="P353" s="8">
        <v>1</v>
      </c>
      <c r="Q353" s="8" t="s">
        <v>1087</v>
      </c>
    </row>
    <row r="354" spans="1:17" x14ac:dyDescent="0.45">
      <c r="A354" s="8">
        <v>51.1</v>
      </c>
      <c r="B354" s="8">
        <v>39081.83</v>
      </c>
      <c r="C354" s="8">
        <v>836</v>
      </c>
      <c r="D354" s="8">
        <v>0</v>
      </c>
      <c r="E354" s="8">
        <v>0</v>
      </c>
      <c r="F354" s="8">
        <v>116</v>
      </c>
      <c r="G354" s="8">
        <v>913.69</v>
      </c>
      <c r="H354" s="8">
        <v>10849.6</v>
      </c>
      <c r="I354" s="8">
        <v>37996.92</v>
      </c>
      <c r="J354" s="8">
        <v>4635</v>
      </c>
      <c r="K354" s="8">
        <v>116</v>
      </c>
      <c r="L354" s="8">
        <v>1235.05</v>
      </c>
      <c r="M354" s="8">
        <v>5.9</v>
      </c>
      <c r="N354" s="8">
        <v>7.5</v>
      </c>
      <c r="O354" s="8">
        <v>607.78</v>
      </c>
      <c r="P354" s="8">
        <v>1</v>
      </c>
      <c r="Q354" s="8" t="s">
        <v>1087</v>
      </c>
    </row>
    <row r="355" spans="1:17" x14ac:dyDescent="0.45">
      <c r="A355" s="8">
        <v>38.700000000000003</v>
      </c>
      <c r="B355" s="8">
        <v>89769.69</v>
      </c>
      <c r="C355" s="8">
        <v>587</v>
      </c>
      <c r="D355" s="8">
        <v>1</v>
      </c>
      <c r="E355" s="8">
        <v>0</v>
      </c>
      <c r="F355" s="8">
        <v>160</v>
      </c>
      <c r="G355" s="8">
        <v>920.03</v>
      </c>
      <c r="H355" s="8">
        <v>3016.16</v>
      </c>
      <c r="I355" s="8">
        <v>53925.48</v>
      </c>
      <c r="J355" s="8">
        <v>797</v>
      </c>
      <c r="K355" s="8">
        <v>160</v>
      </c>
      <c r="L355" s="8">
        <v>2042.1</v>
      </c>
      <c r="M355" s="8">
        <v>4.2</v>
      </c>
      <c r="N355" s="8">
        <v>8.3000000000000007</v>
      </c>
      <c r="O355" s="8">
        <v>583.66</v>
      </c>
      <c r="P355" s="8">
        <v>1</v>
      </c>
      <c r="Q355" s="8" t="s">
        <v>1087</v>
      </c>
    </row>
    <row r="356" spans="1:17" x14ac:dyDescent="0.45">
      <c r="A356" s="8">
        <v>54.5</v>
      </c>
      <c r="B356" s="8">
        <v>80202.720000000001</v>
      </c>
      <c r="C356" s="8">
        <v>638</v>
      </c>
      <c r="D356" s="8">
        <v>0</v>
      </c>
      <c r="E356" s="8">
        <v>0</v>
      </c>
      <c r="F356" s="8">
        <v>268</v>
      </c>
      <c r="G356" s="8">
        <v>942.64</v>
      </c>
      <c r="H356" s="8">
        <v>8867.69</v>
      </c>
      <c r="I356" s="8">
        <v>45101.95</v>
      </c>
      <c r="J356" s="8">
        <v>4507</v>
      </c>
      <c r="K356" s="8">
        <v>268</v>
      </c>
      <c r="L356" s="8">
        <v>6745.23</v>
      </c>
      <c r="M356" s="8">
        <v>4.5999999999999996</v>
      </c>
      <c r="N356" s="8">
        <v>1.1000000000000001</v>
      </c>
      <c r="O356" s="8">
        <v>692.5</v>
      </c>
      <c r="P356" s="8">
        <v>1</v>
      </c>
      <c r="Q356" s="8" t="s">
        <v>1087</v>
      </c>
    </row>
    <row r="357" spans="1:17" x14ac:dyDescent="0.45">
      <c r="A357" s="8">
        <v>81.400000000000006</v>
      </c>
      <c r="B357" s="8">
        <v>97470.81</v>
      </c>
      <c r="C357" s="8">
        <v>716</v>
      </c>
      <c r="D357" s="8">
        <v>1</v>
      </c>
      <c r="E357" s="8">
        <v>1</v>
      </c>
      <c r="F357" s="8">
        <v>161</v>
      </c>
      <c r="G357" s="8">
        <v>944.04</v>
      </c>
      <c r="H357" s="8">
        <v>1289.31</v>
      </c>
      <c r="I357" s="8">
        <v>67112.27</v>
      </c>
      <c r="J357" s="8">
        <v>3707</v>
      </c>
      <c r="K357" s="8">
        <v>161</v>
      </c>
      <c r="L357" s="8">
        <v>6638.39</v>
      </c>
      <c r="M357" s="8">
        <v>3</v>
      </c>
      <c r="N357" s="8">
        <v>2.9</v>
      </c>
      <c r="O357" s="8">
        <v>846.34</v>
      </c>
      <c r="P357" s="8">
        <v>1</v>
      </c>
      <c r="Q357" s="8" t="s">
        <v>1087</v>
      </c>
    </row>
    <row r="358" spans="1:17" x14ac:dyDescent="0.45">
      <c r="A358" s="8">
        <v>34.799999999999997</v>
      </c>
      <c r="B358" s="8">
        <v>93113.02</v>
      </c>
      <c r="C358" s="8">
        <v>646</v>
      </c>
      <c r="D358" s="8">
        <v>1</v>
      </c>
      <c r="E358" s="8">
        <v>0</v>
      </c>
      <c r="F358" s="8">
        <v>231</v>
      </c>
      <c r="G358" s="8">
        <v>950.65</v>
      </c>
      <c r="H358" s="8">
        <v>35256.29</v>
      </c>
      <c r="I358" s="8">
        <v>73939.09</v>
      </c>
      <c r="J358" s="8">
        <v>3752</v>
      </c>
      <c r="K358" s="8">
        <v>231</v>
      </c>
      <c r="L358" s="8">
        <v>472.16</v>
      </c>
      <c r="M358" s="8">
        <v>7.6</v>
      </c>
      <c r="N358" s="8">
        <v>5.4</v>
      </c>
      <c r="O358" s="8">
        <v>678.48</v>
      </c>
      <c r="P358" s="8">
        <v>1</v>
      </c>
      <c r="Q358" s="8" t="s">
        <v>1087</v>
      </c>
    </row>
    <row r="359" spans="1:17" x14ac:dyDescent="0.45">
      <c r="A359" s="8">
        <v>55.5</v>
      </c>
      <c r="B359" s="8">
        <v>58562.59</v>
      </c>
      <c r="C359" s="8">
        <v>723</v>
      </c>
      <c r="D359" s="8">
        <v>0</v>
      </c>
      <c r="E359" s="8">
        <v>1</v>
      </c>
      <c r="F359" s="8">
        <v>97</v>
      </c>
      <c r="G359" s="8">
        <v>951.89</v>
      </c>
      <c r="H359" s="8">
        <v>11261.19</v>
      </c>
      <c r="I359" s="8">
        <v>54120.66</v>
      </c>
      <c r="J359" s="8">
        <v>4507</v>
      </c>
      <c r="K359" s="8">
        <v>97</v>
      </c>
      <c r="L359" s="8">
        <v>7157.21</v>
      </c>
      <c r="M359" s="8">
        <v>0.5</v>
      </c>
      <c r="N359" s="8">
        <v>7.6</v>
      </c>
      <c r="O359" s="8">
        <v>777.22</v>
      </c>
      <c r="P359" s="8">
        <v>1</v>
      </c>
      <c r="Q359" s="8" t="s">
        <v>1087</v>
      </c>
    </row>
    <row r="360" spans="1:17" x14ac:dyDescent="0.45">
      <c r="A360" s="8">
        <v>31.3</v>
      </c>
      <c r="B360" s="8">
        <v>70670.38</v>
      </c>
      <c r="C360" s="8">
        <v>578</v>
      </c>
      <c r="D360" s="8">
        <v>0</v>
      </c>
      <c r="E360" s="8">
        <v>1</v>
      </c>
      <c r="F360" s="8">
        <v>160</v>
      </c>
      <c r="G360" s="8">
        <v>1002.38</v>
      </c>
      <c r="H360" s="8">
        <v>43461.21</v>
      </c>
      <c r="I360" s="8">
        <v>27136.22</v>
      </c>
      <c r="J360" s="8">
        <v>1536</v>
      </c>
      <c r="K360" s="8">
        <v>160</v>
      </c>
      <c r="L360" s="8">
        <v>8257.0499999999993</v>
      </c>
      <c r="M360" s="8">
        <v>5.4</v>
      </c>
      <c r="N360" s="8">
        <v>1.2</v>
      </c>
      <c r="O360" s="8">
        <v>732.2</v>
      </c>
      <c r="P360" s="8">
        <v>1</v>
      </c>
      <c r="Q360" s="8" t="s">
        <v>1087</v>
      </c>
    </row>
    <row r="361" spans="1:17" x14ac:dyDescent="0.45">
      <c r="A361" s="8">
        <v>59.2</v>
      </c>
      <c r="B361" s="8">
        <v>102974.7</v>
      </c>
      <c r="C361" s="8">
        <v>608</v>
      </c>
      <c r="D361" s="8">
        <v>1</v>
      </c>
      <c r="E361" s="8">
        <v>1</v>
      </c>
      <c r="F361" s="8">
        <v>177</v>
      </c>
      <c r="G361" s="8">
        <v>1022.75</v>
      </c>
      <c r="H361" s="8">
        <v>39529.86</v>
      </c>
      <c r="I361" s="8">
        <v>81198.73</v>
      </c>
      <c r="J361" s="8">
        <v>2376</v>
      </c>
      <c r="K361" s="8">
        <v>177</v>
      </c>
      <c r="L361" s="8">
        <v>2311.12</v>
      </c>
      <c r="M361" s="8">
        <v>2.9</v>
      </c>
      <c r="N361" s="8">
        <v>3.7</v>
      </c>
      <c r="O361" s="8">
        <v>681.68</v>
      </c>
      <c r="P361" s="8">
        <v>1</v>
      </c>
      <c r="Q361" s="8" t="s">
        <v>1087</v>
      </c>
    </row>
    <row r="362" spans="1:17" x14ac:dyDescent="0.45">
      <c r="A362" s="8">
        <v>59.7</v>
      </c>
      <c r="B362" s="8">
        <v>114420.97</v>
      </c>
      <c r="C362" s="8">
        <v>791</v>
      </c>
      <c r="D362" s="8">
        <v>0</v>
      </c>
      <c r="E362" s="8">
        <v>0</v>
      </c>
      <c r="F362" s="8">
        <v>37</v>
      </c>
      <c r="G362" s="8">
        <v>1024.8900000000001</v>
      </c>
      <c r="H362" s="8">
        <v>5931.69</v>
      </c>
      <c r="I362" s="8">
        <v>70690.11</v>
      </c>
      <c r="J362" s="8">
        <v>4823</v>
      </c>
      <c r="K362" s="8">
        <v>37</v>
      </c>
      <c r="L362" s="8">
        <v>4396.0200000000004</v>
      </c>
      <c r="M362" s="8">
        <v>1.8</v>
      </c>
      <c r="N362" s="8">
        <v>5.2</v>
      </c>
      <c r="O362" s="8">
        <v>753.47</v>
      </c>
      <c r="P362" s="8">
        <v>1</v>
      </c>
      <c r="Q362" s="8" t="s">
        <v>1087</v>
      </c>
    </row>
    <row r="363" spans="1:17" x14ac:dyDescent="0.45">
      <c r="A363" s="8">
        <v>69.2</v>
      </c>
      <c r="B363" s="8">
        <v>91243.97</v>
      </c>
      <c r="C363" s="8">
        <v>574</v>
      </c>
      <c r="D363" s="8">
        <v>1</v>
      </c>
      <c r="E363" s="8">
        <v>0</v>
      </c>
      <c r="F363" s="8">
        <v>84</v>
      </c>
      <c r="G363" s="8">
        <v>1030.0899999999999</v>
      </c>
      <c r="H363" s="8">
        <v>1523.89</v>
      </c>
      <c r="I363" s="8">
        <v>88031.97</v>
      </c>
      <c r="J363" s="8">
        <v>3086</v>
      </c>
      <c r="K363" s="8">
        <v>84</v>
      </c>
      <c r="L363" s="8">
        <v>5339.45</v>
      </c>
      <c r="M363" s="8">
        <v>4</v>
      </c>
      <c r="N363" s="8">
        <v>4.9000000000000004</v>
      </c>
      <c r="O363" s="8">
        <v>749.63</v>
      </c>
      <c r="P363" s="8">
        <v>1</v>
      </c>
      <c r="Q363" s="8" t="s">
        <v>1087</v>
      </c>
    </row>
    <row r="364" spans="1:17" x14ac:dyDescent="0.45">
      <c r="A364" s="8">
        <v>67.400000000000006</v>
      </c>
      <c r="B364" s="8">
        <v>66117.06</v>
      </c>
      <c r="C364" s="8">
        <v>551</v>
      </c>
      <c r="D364" s="8">
        <v>1</v>
      </c>
      <c r="E364" s="8">
        <v>0</v>
      </c>
      <c r="F364" s="8">
        <v>181</v>
      </c>
      <c r="G364" s="8">
        <v>1033.42</v>
      </c>
      <c r="H364" s="8">
        <v>25470.560000000001</v>
      </c>
      <c r="I364" s="8">
        <v>52496.07</v>
      </c>
      <c r="J364" s="8">
        <v>4454</v>
      </c>
      <c r="K364" s="8">
        <v>181</v>
      </c>
      <c r="L364" s="8">
        <v>3997.1</v>
      </c>
      <c r="M364" s="8">
        <v>6.5</v>
      </c>
      <c r="N364" s="8">
        <v>4</v>
      </c>
      <c r="O364" s="8">
        <v>626.15</v>
      </c>
      <c r="P364" s="8">
        <v>1</v>
      </c>
      <c r="Q364" s="8" t="s">
        <v>1087</v>
      </c>
    </row>
    <row r="365" spans="1:17" x14ac:dyDescent="0.45">
      <c r="A365" s="8">
        <v>48.9</v>
      </c>
      <c r="B365" s="8">
        <v>40796.47</v>
      </c>
      <c r="C365" s="8">
        <v>746</v>
      </c>
      <c r="D365" s="8">
        <v>1</v>
      </c>
      <c r="E365" s="8">
        <v>1</v>
      </c>
      <c r="F365" s="8">
        <v>282</v>
      </c>
      <c r="G365" s="8">
        <v>1044.3599999999999</v>
      </c>
      <c r="H365" s="8">
        <v>15579.06</v>
      </c>
      <c r="I365" s="8">
        <v>24539.35</v>
      </c>
      <c r="J365" s="8">
        <v>3302</v>
      </c>
      <c r="K365" s="8">
        <v>282</v>
      </c>
      <c r="L365" s="8">
        <v>1423.8</v>
      </c>
      <c r="M365" s="8">
        <v>3</v>
      </c>
      <c r="N365" s="8">
        <v>6</v>
      </c>
      <c r="O365" s="8">
        <v>599.16</v>
      </c>
      <c r="P365" s="8">
        <v>1</v>
      </c>
      <c r="Q365" s="8" t="s">
        <v>1087</v>
      </c>
    </row>
    <row r="366" spans="1:17" x14ac:dyDescent="0.45">
      <c r="A366" s="8">
        <v>82.8</v>
      </c>
      <c r="B366" s="8">
        <v>128145.98</v>
      </c>
      <c r="C366" s="8">
        <v>578</v>
      </c>
      <c r="D366" s="8">
        <v>0</v>
      </c>
      <c r="E366" s="8">
        <v>1</v>
      </c>
      <c r="F366" s="8">
        <v>12</v>
      </c>
      <c r="G366" s="8">
        <v>1046.5</v>
      </c>
      <c r="H366" s="8">
        <v>2227.6</v>
      </c>
      <c r="I366" s="8">
        <v>84715.64</v>
      </c>
      <c r="J366" s="8">
        <v>3683</v>
      </c>
      <c r="K366" s="8">
        <v>12</v>
      </c>
      <c r="L366" s="8">
        <v>1028.51</v>
      </c>
      <c r="M366" s="8">
        <v>6.6</v>
      </c>
      <c r="N366" s="8">
        <v>6.7</v>
      </c>
      <c r="O366" s="8">
        <v>525.52</v>
      </c>
      <c r="P366" s="8">
        <v>1</v>
      </c>
      <c r="Q366" s="8" t="s">
        <v>1087</v>
      </c>
    </row>
    <row r="367" spans="1:17" x14ac:dyDescent="0.45">
      <c r="A367" s="8">
        <v>39.200000000000003</v>
      </c>
      <c r="B367" s="8">
        <v>59041.14</v>
      </c>
      <c r="C367" s="8">
        <v>564</v>
      </c>
      <c r="D367" s="8">
        <v>1</v>
      </c>
      <c r="E367" s="8">
        <v>1</v>
      </c>
      <c r="F367" s="8">
        <v>189</v>
      </c>
      <c r="G367" s="8">
        <v>1056.96</v>
      </c>
      <c r="H367" s="8">
        <v>7974.44</v>
      </c>
      <c r="I367" s="8">
        <v>20597.919999999998</v>
      </c>
      <c r="J367" s="8">
        <v>4487</v>
      </c>
      <c r="K367" s="8">
        <v>189</v>
      </c>
      <c r="L367" s="8">
        <v>368.57</v>
      </c>
      <c r="M367" s="8">
        <v>2.6</v>
      </c>
      <c r="N367" s="8">
        <v>2.9</v>
      </c>
      <c r="O367" s="8">
        <v>847.53</v>
      </c>
      <c r="P367" s="8">
        <v>1</v>
      </c>
      <c r="Q367" s="8" t="s">
        <v>1087</v>
      </c>
    </row>
    <row r="368" spans="1:17" x14ac:dyDescent="0.45">
      <c r="A368" s="8">
        <v>46.6</v>
      </c>
      <c r="B368" s="8">
        <v>119061.25</v>
      </c>
      <c r="C368" s="8">
        <v>710</v>
      </c>
      <c r="D368" s="8">
        <v>1</v>
      </c>
      <c r="E368" s="8">
        <v>1</v>
      </c>
      <c r="F368" s="8">
        <v>6</v>
      </c>
      <c r="G368" s="8">
        <v>1076.26</v>
      </c>
      <c r="H368" s="8">
        <v>30600.48</v>
      </c>
      <c r="I368" s="8">
        <v>68954.34</v>
      </c>
      <c r="J368" s="8">
        <v>3421</v>
      </c>
      <c r="K368" s="8">
        <v>6</v>
      </c>
      <c r="L368" s="8">
        <v>1207.68</v>
      </c>
      <c r="M368" s="8">
        <v>6.5</v>
      </c>
      <c r="N368" s="8">
        <v>1.7</v>
      </c>
      <c r="O368" s="8">
        <v>1037.57</v>
      </c>
      <c r="P368" s="8">
        <v>1</v>
      </c>
      <c r="Q368" s="8" t="s">
        <v>1087</v>
      </c>
    </row>
    <row r="369" spans="1:17" x14ac:dyDescent="0.45">
      <c r="A369" s="8">
        <v>82.9</v>
      </c>
      <c r="B369" s="8">
        <v>88914.53</v>
      </c>
      <c r="C369" s="8">
        <v>612</v>
      </c>
      <c r="D369" s="8">
        <v>0</v>
      </c>
      <c r="E369" s="8">
        <v>0</v>
      </c>
      <c r="F369" s="8">
        <v>147</v>
      </c>
      <c r="G369" s="8">
        <v>1085.75</v>
      </c>
      <c r="H369" s="8">
        <v>20534.37</v>
      </c>
      <c r="I369" s="8">
        <v>78751.399999999994</v>
      </c>
      <c r="J369" s="8">
        <v>2495</v>
      </c>
      <c r="K369" s="8">
        <v>147</v>
      </c>
      <c r="L369" s="8">
        <v>4463.33</v>
      </c>
      <c r="M369" s="8">
        <v>3.2</v>
      </c>
      <c r="N369" s="8">
        <v>6.4</v>
      </c>
      <c r="O369" s="8">
        <v>617.20000000000005</v>
      </c>
      <c r="P369" s="8">
        <v>1</v>
      </c>
      <c r="Q369" s="8" t="s">
        <v>1087</v>
      </c>
    </row>
    <row r="370" spans="1:17" x14ac:dyDescent="0.45">
      <c r="A370" s="8">
        <v>62.3</v>
      </c>
      <c r="B370" s="8">
        <v>101544.81</v>
      </c>
      <c r="C370" s="8">
        <v>561</v>
      </c>
      <c r="D370" s="8">
        <v>0</v>
      </c>
      <c r="E370" s="8">
        <v>1</v>
      </c>
      <c r="F370" s="8">
        <v>62</v>
      </c>
      <c r="G370" s="8">
        <v>1098.74</v>
      </c>
      <c r="H370" s="8">
        <v>14821.61</v>
      </c>
      <c r="I370" s="8">
        <v>64464.78</v>
      </c>
      <c r="J370" s="8">
        <v>4270</v>
      </c>
      <c r="K370" s="8">
        <v>62</v>
      </c>
      <c r="L370" s="8">
        <v>1008.85</v>
      </c>
      <c r="M370" s="8">
        <v>4.5999999999999996</v>
      </c>
      <c r="N370" s="8">
        <v>4.3</v>
      </c>
      <c r="O370" s="8">
        <v>1062.1400000000001</v>
      </c>
      <c r="P370" s="8">
        <v>1</v>
      </c>
      <c r="Q370" s="8" t="s">
        <v>1087</v>
      </c>
    </row>
    <row r="371" spans="1:17" x14ac:dyDescent="0.45">
      <c r="A371" s="8">
        <v>27.2</v>
      </c>
      <c r="B371" s="8">
        <v>49730</v>
      </c>
      <c r="C371" s="8">
        <v>688</v>
      </c>
      <c r="D371" s="8">
        <v>0</v>
      </c>
      <c r="E371" s="8">
        <v>1</v>
      </c>
      <c r="F371" s="8">
        <v>57</v>
      </c>
      <c r="G371" s="8">
        <v>1115.6300000000001</v>
      </c>
      <c r="H371" s="8">
        <v>4815.83</v>
      </c>
      <c r="I371" s="8">
        <v>35217.86</v>
      </c>
      <c r="J371" s="8">
        <v>39</v>
      </c>
      <c r="K371" s="8">
        <v>57</v>
      </c>
      <c r="L371" s="8">
        <v>4165.74</v>
      </c>
      <c r="M371" s="8">
        <v>2.9</v>
      </c>
      <c r="N371" s="8">
        <v>7.5</v>
      </c>
      <c r="O371" s="8">
        <v>1054.8599999999999</v>
      </c>
      <c r="P371" s="8">
        <v>1</v>
      </c>
      <c r="Q371" s="8" t="s">
        <v>1087</v>
      </c>
    </row>
    <row r="372" spans="1:17" x14ac:dyDescent="0.45">
      <c r="A372" s="8">
        <v>29.3</v>
      </c>
      <c r="B372" s="8">
        <v>95892.25</v>
      </c>
      <c r="C372" s="8">
        <v>732</v>
      </c>
      <c r="D372" s="8">
        <v>0</v>
      </c>
      <c r="E372" s="8">
        <v>1</v>
      </c>
      <c r="F372" s="8">
        <v>50</v>
      </c>
      <c r="G372" s="8">
        <v>1131.68</v>
      </c>
      <c r="H372" s="8">
        <v>47140.61</v>
      </c>
      <c r="I372" s="8">
        <v>59026.95</v>
      </c>
      <c r="J372" s="8">
        <v>300</v>
      </c>
      <c r="K372" s="8">
        <v>50</v>
      </c>
      <c r="L372" s="8">
        <v>3388.02</v>
      </c>
      <c r="M372" s="8">
        <v>3.1</v>
      </c>
      <c r="N372" s="8">
        <v>5.2</v>
      </c>
      <c r="O372" s="8">
        <v>778.81</v>
      </c>
      <c r="P372" s="8">
        <v>1</v>
      </c>
      <c r="Q372" s="8" t="s">
        <v>1087</v>
      </c>
    </row>
    <row r="373" spans="1:17" x14ac:dyDescent="0.45">
      <c r="A373" s="8">
        <v>34.1</v>
      </c>
      <c r="B373" s="8">
        <v>82691.89</v>
      </c>
      <c r="C373" s="8">
        <v>703</v>
      </c>
      <c r="D373" s="8">
        <v>0</v>
      </c>
      <c r="E373" s="8">
        <v>0</v>
      </c>
      <c r="F373" s="8">
        <v>90</v>
      </c>
      <c r="G373" s="8">
        <v>1180.77</v>
      </c>
      <c r="H373" s="8">
        <v>54957.84</v>
      </c>
      <c r="I373" s="8">
        <v>47583.05</v>
      </c>
      <c r="J373" s="8">
        <v>3233</v>
      </c>
      <c r="K373" s="8">
        <v>90</v>
      </c>
      <c r="L373" s="8">
        <v>1572.7</v>
      </c>
      <c r="M373" s="8">
        <v>9.3000000000000007</v>
      </c>
      <c r="N373" s="8">
        <v>2.4</v>
      </c>
      <c r="O373" s="8">
        <v>1096.6300000000001</v>
      </c>
      <c r="P373" s="8">
        <v>1</v>
      </c>
      <c r="Q373" s="8" t="s">
        <v>1087</v>
      </c>
    </row>
    <row r="374" spans="1:17" x14ac:dyDescent="0.45">
      <c r="A374" s="8">
        <v>67.099999999999994</v>
      </c>
      <c r="B374" s="8">
        <v>69181.98</v>
      </c>
      <c r="C374" s="8">
        <v>617</v>
      </c>
      <c r="D374" s="8">
        <v>1</v>
      </c>
      <c r="E374" s="8">
        <v>1</v>
      </c>
      <c r="F374" s="8">
        <v>89</v>
      </c>
      <c r="G374" s="8">
        <v>1184.3399999999999</v>
      </c>
      <c r="H374" s="8">
        <v>59511.01</v>
      </c>
      <c r="I374" s="8">
        <v>44151.6</v>
      </c>
      <c r="J374" s="8">
        <v>2347</v>
      </c>
      <c r="K374" s="8">
        <v>89</v>
      </c>
      <c r="L374" s="8">
        <v>9897.4699999999993</v>
      </c>
      <c r="M374" s="8">
        <v>3.7</v>
      </c>
      <c r="N374" s="8">
        <v>6.1</v>
      </c>
      <c r="O374" s="8">
        <v>607.24</v>
      </c>
      <c r="P374" s="8">
        <v>1</v>
      </c>
      <c r="Q374" s="8" t="s">
        <v>1087</v>
      </c>
    </row>
    <row r="375" spans="1:17" x14ac:dyDescent="0.45">
      <c r="A375" s="8">
        <v>41.2</v>
      </c>
      <c r="B375" s="8">
        <v>63091.53</v>
      </c>
      <c r="C375" s="8">
        <v>533</v>
      </c>
      <c r="D375" s="8">
        <v>0</v>
      </c>
      <c r="E375" s="8">
        <v>0</v>
      </c>
      <c r="F375" s="8">
        <v>100</v>
      </c>
      <c r="G375" s="8">
        <v>1185.8900000000001</v>
      </c>
      <c r="H375" s="8">
        <v>54527.51</v>
      </c>
      <c r="I375" s="8">
        <v>27846.78</v>
      </c>
      <c r="J375" s="8">
        <v>4542</v>
      </c>
      <c r="K375" s="8">
        <v>100</v>
      </c>
      <c r="L375" s="8">
        <v>4733.53</v>
      </c>
      <c r="M375" s="8">
        <v>7.2</v>
      </c>
      <c r="N375" s="8">
        <v>5</v>
      </c>
      <c r="O375" s="8">
        <v>734.24</v>
      </c>
      <c r="P375" s="8">
        <v>1</v>
      </c>
      <c r="Q375" s="8" t="s">
        <v>1087</v>
      </c>
    </row>
    <row r="376" spans="1:17" x14ac:dyDescent="0.45">
      <c r="A376" s="8">
        <v>51.5</v>
      </c>
      <c r="B376" s="8">
        <v>94183.1</v>
      </c>
      <c r="C376" s="8">
        <v>723</v>
      </c>
      <c r="D376" s="8">
        <v>0</v>
      </c>
      <c r="E376" s="8">
        <v>1</v>
      </c>
      <c r="F376" s="8">
        <v>56</v>
      </c>
      <c r="G376" s="8">
        <v>1188.72</v>
      </c>
      <c r="H376" s="8">
        <v>3140.72</v>
      </c>
      <c r="I376" s="8">
        <v>59625.82</v>
      </c>
      <c r="J376" s="8">
        <v>1759</v>
      </c>
      <c r="K376" s="8">
        <v>56</v>
      </c>
      <c r="L376" s="8">
        <v>1454.35</v>
      </c>
      <c r="M376" s="8">
        <v>2.2000000000000002</v>
      </c>
      <c r="N376" s="8">
        <v>8.6999999999999993</v>
      </c>
      <c r="O376" s="8">
        <v>953.42</v>
      </c>
      <c r="P376" s="8">
        <v>1</v>
      </c>
      <c r="Q376" s="8" t="s">
        <v>1087</v>
      </c>
    </row>
    <row r="377" spans="1:17" x14ac:dyDescent="0.45">
      <c r="A377" s="8">
        <v>43.7</v>
      </c>
      <c r="B377" s="8">
        <v>113155.53</v>
      </c>
      <c r="C377" s="8">
        <v>573</v>
      </c>
      <c r="D377" s="8">
        <v>1</v>
      </c>
      <c r="E377" s="8">
        <v>1</v>
      </c>
      <c r="F377" s="8">
        <v>60</v>
      </c>
      <c r="G377" s="8">
        <v>1199.79</v>
      </c>
      <c r="H377" s="8">
        <v>901.33</v>
      </c>
      <c r="I377" s="8">
        <v>70261.710000000006</v>
      </c>
      <c r="J377" s="8">
        <v>4952</v>
      </c>
      <c r="K377" s="8">
        <v>60</v>
      </c>
      <c r="L377" s="8">
        <v>4221.33</v>
      </c>
      <c r="M377" s="8">
        <v>7</v>
      </c>
      <c r="N377" s="8">
        <v>5.8</v>
      </c>
      <c r="O377" s="8">
        <v>902.62</v>
      </c>
      <c r="P377" s="8">
        <v>1</v>
      </c>
      <c r="Q377" s="8" t="s">
        <v>1087</v>
      </c>
    </row>
    <row r="378" spans="1:17" x14ac:dyDescent="0.45">
      <c r="A378" s="8">
        <v>51</v>
      </c>
      <c r="B378" s="8">
        <v>88890.55</v>
      </c>
      <c r="C378" s="8">
        <v>557</v>
      </c>
      <c r="D378" s="8">
        <v>0</v>
      </c>
      <c r="E378" s="8">
        <v>0</v>
      </c>
      <c r="F378" s="8">
        <v>203</v>
      </c>
      <c r="G378" s="8">
        <v>1213.78</v>
      </c>
      <c r="H378" s="8">
        <v>15993.8</v>
      </c>
      <c r="I378" s="8">
        <v>49117.72</v>
      </c>
      <c r="J378" s="8">
        <v>2326</v>
      </c>
      <c r="K378" s="8">
        <v>203</v>
      </c>
      <c r="L378" s="8">
        <v>2508.3200000000002</v>
      </c>
      <c r="M378" s="8">
        <v>4.0999999999999996</v>
      </c>
      <c r="N378" s="8">
        <v>7.5</v>
      </c>
      <c r="O378" s="8">
        <v>763.26</v>
      </c>
      <c r="P378" s="8">
        <v>1</v>
      </c>
      <c r="Q378" s="8" t="s">
        <v>1087</v>
      </c>
    </row>
    <row r="379" spans="1:17" x14ac:dyDescent="0.45">
      <c r="A379" s="8">
        <v>29.3</v>
      </c>
      <c r="B379" s="8">
        <v>68934.45</v>
      </c>
      <c r="C379" s="8">
        <v>494</v>
      </c>
      <c r="D379" s="8">
        <v>0</v>
      </c>
      <c r="E379" s="8">
        <v>1</v>
      </c>
      <c r="F379" s="8">
        <v>166</v>
      </c>
      <c r="G379" s="8">
        <v>1230.75</v>
      </c>
      <c r="H379" s="8">
        <v>16758.419999999998</v>
      </c>
      <c r="I379" s="8">
        <v>50935.03</v>
      </c>
      <c r="J379" s="8">
        <v>2140</v>
      </c>
      <c r="K379" s="8">
        <v>166</v>
      </c>
      <c r="L379" s="8">
        <v>4058.1</v>
      </c>
      <c r="M379" s="8">
        <v>0.5</v>
      </c>
      <c r="N379" s="8">
        <v>6.5</v>
      </c>
      <c r="O379" s="8">
        <v>691.26</v>
      </c>
      <c r="P379" s="8">
        <v>1</v>
      </c>
      <c r="Q379" s="8" t="s">
        <v>1087</v>
      </c>
    </row>
    <row r="380" spans="1:17" x14ac:dyDescent="0.45">
      <c r="A380" s="8">
        <v>78.3</v>
      </c>
      <c r="B380" s="8">
        <v>105800.62</v>
      </c>
      <c r="C380" s="8">
        <v>771</v>
      </c>
      <c r="D380" s="8">
        <v>0</v>
      </c>
      <c r="E380" s="8">
        <v>1</v>
      </c>
      <c r="F380" s="8">
        <v>38</v>
      </c>
      <c r="G380" s="8">
        <v>1247</v>
      </c>
      <c r="H380" s="8">
        <v>58364.65</v>
      </c>
      <c r="I380" s="8">
        <v>76008.19</v>
      </c>
      <c r="J380" s="8">
        <v>3027</v>
      </c>
      <c r="K380" s="8">
        <v>38</v>
      </c>
      <c r="L380" s="8">
        <v>9596.35</v>
      </c>
      <c r="M380" s="8">
        <v>4.5999999999999996</v>
      </c>
      <c r="N380" s="8">
        <v>4.0999999999999996</v>
      </c>
      <c r="O380" s="8">
        <v>753.26</v>
      </c>
      <c r="P380" s="8">
        <v>1</v>
      </c>
      <c r="Q380" s="8" t="s">
        <v>1087</v>
      </c>
    </row>
    <row r="381" spans="1:17" x14ac:dyDescent="0.45">
      <c r="A381" s="8">
        <v>45.5</v>
      </c>
      <c r="B381" s="8">
        <v>83347.05</v>
      </c>
      <c r="C381" s="8">
        <v>667</v>
      </c>
      <c r="D381" s="8">
        <v>1</v>
      </c>
      <c r="E381" s="8">
        <v>0</v>
      </c>
      <c r="F381" s="8">
        <v>208</v>
      </c>
      <c r="G381" s="8">
        <v>1286.94</v>
      </c>
      <c r="H381" s="8">
        <v>2835.41</v>
      </c>
      <c r="I381" s="8">
        <v>54279.92</v>
      </c>
      <c r="J381" s="8">
        <v>1807</v>
      </c>
      <c r="K381" s="8">
        <v>208</v>
      </c>
      <c r="L381" s="8">
        <v>4157.4799999999996</v>
      </c>
      <c r="M381" s="8">
        <v>5.4</v>
      </c>
      <c r="N381" s="8">
        <v>3.2</v>
      </c>
      <c r="O381" s="8">
        <v>1243.5</v>
      </c>
      <c r="P381" s="8">
        <v>1</v>
      </c>
      <c r="Q381" s="8" t="s">
        <v>1087</v>
      </c>
    </row>
    <row r="382" spans="1:17" x14ac:dyDescent="0.45">
      <c r="A382" s="8">
        <v>54.4</v>
      </c>
      <c r="B382" s="8">
        <v>61478.95</v>
      </c>
      <c r="C382" s="8">
        <v>671</v>
      </c>
      <c r="D382" s="8">
        <v>0</v>
      </c>
      <c r="E382" s="8">
        <v>1</v>
      </c>
      <c r="F382" s="8">
        <v>288</v>
      </c>
      <c r="G382" s="8">
        <v>1308.56</v>
      </c>
      <c r="H382" s="8">
        <v>42080.18</v>
      </c>
      <c r="I382" s="8">
        <v>40566.870000000003</v>
      </c>
      <c r="J382" s="8">
        <v>2876</v>
      </c>
      <c r="K382" s="8">
        <v>288</v>
      </c>
      <c r="L382" s="8">
        <v>1782.32</v>
      </c>
      <c r="M382" s="8">
        <v>5.9</v>
      </c>
      <c r="N382" s="8">
        <v>4</v>
      </c>
      <c r="O382" s="8">
        <v>1113.81</v>
      </c>
      <c r="P382" s="8">
        <v>1</v>
      </c>
      <c r="Q382" s="8" t="s">
        <v>1087</v>
      </c>
    </row>
    <row r="383" spans="1:17" x14ac:dyDescent="0.45">
      <c r="A383" s="8">
        <v>50.2</v>
      </c>
      <c r="B383" s="8">
        <v>91809.52</v>
      </c>
      <c r="C383" s="8">
        <v>675</v>
      </c>
      <c r="D383" s="8">
        <v>0</v>
      </c>
      <c r="E383" s="8">
        <v>0</v>
      </c>
      <c r="F383" s="8">
        <v>260</v>
      </c>
      <c r="G383" s="8">
        <v>1322.82</v>
      </c>
      <c r="H383" s="8">
        <v>22506.69</v>
      </c>
      <c r="I383" s="8">
        <v>77017.960000000006</v>
      </c>
      <c r="J383" s="8">
        <v>3178</v>
      </c>
      <c r="K383" s="8">
        <v>260</v>
      </c>
      <c r="L383" s="8">
        <v>4544.1499999999996</v>
      </c>
      <c r="M383" s="8">
        <v>0.5</v>
      </c>
      <c r="N383" s="8">
        <v>8.5</v>
      </c>
      <c r="O383" s="8">
        <v>887.02</v>
      </c>
      <c r="P383" s="8">
        <v>1</v>
      </c>
      <c r="Q383" s="8" t="s">
        <v>1087</v>
      </c>
    </row>
    <row r="384" spans="1:17" x14ac:dyDescent="0.45">
      <c r="A384" s="8">
        <v>58.6</v>
      </c>
      <c r="B384" s="8">
        <v>123508.7</v>
      </c>
      <c r="C384" s="8">
        <v>581</v>
      </c>
      <c r="D384" s="8">
        <v>1</v>
      </c>
      <c r="E384" s="8">
        <v>1</v>
      </c>
      <c r="F384" s="8">
        <v>72</v>
      </c>
      <c r="G384" s="8">
        <v>1328.31</v>
      </c>
      <c r="H384" s="8">
        <v>6058.16</v>
      </c>
      <c r="I384" s="8">
        <v>80782.240000000005</v>
      </c>
      <c r="J384" s="8">
        <v>3032</v>
      </c>
      <c r="K384" s="8">
        <v>72</v>
      </c>
      <c r="L384" s="8">
        <v>2082.62</v>
      </c>
      <c r="M384" s="8">
        <v>3</v>
      </c>
      <c r="N384" s="8">
        <v>4.5</v>
      </c>
      <c r="O384" s="8">
        <v>868.34</v>
      </c>
      <c r="P384" s="8">
        <v>1</v>
      </c>
      <c r="Q384" s="8" t="s">
        <v>1087</v>
      </c>
    </row>
    <row r="385" spans="1:17" x14ac:dyDescent="0.45">
      <c r="A385" s="8">
        <v>51</v>
      </c>
      <c r="B385" s="8">
        <v>108922.86</v>
      </c>
      <c r="C385" s="8">
        <v>613</v>
      </c>
      <c r="D385" s="8">
        <v>0</v>
      </c>
      <c r="E385" s="8">
        <v>1</v>
      </c>
      <c r="F385" s="8">
        <v>175</v>
      </c>
      <c r="G385" s="8">
        <v>1332.94</v>
      </c>
      <c r="H385" s="8">
        <v>5919.43</v>
      </c>
      <c r="I385" s="8">
        <v>69964.429999999993</v>
      </c>
      <c r="J385" s="8">
        <v>2546</v>
      </c>
      <c r="K385" s="8">
        <v>175</v>
      </c>
      <c r="L385" s="8">
        <v>4791.66</v>
      </c>
      <c r="M385" s="8">
        <v>6.3</v>
      </c>
      <c r="N385" s="8">
        <v>3.5</v>
      </c>
      <c r="O385" s="8">
        <v>1151.9000000000001</v>
      </c>
      <c r="P385" s="8">
        <v>1</v>
      </c>
      <c r="Q385" s="8" t="s">
        <v>1087</v>
      </c>
    </row>
    <row r="386" spans="1:17" x14ac:dyDescent="0.45">
      <c r="A386" s="8">
        <v>37.6</v>
      </c>
      <c r="B386" s="8">
        <v>67087.259999999995</v>
      </c>
      <c r="C386" s="8">
        <v>735</v>
      </c>
      <c r="D386" s="8">
        <v>1</v>
      </c>
      <c r="E386" s="8">
        <v>1</v>
      </c>
      <c r="F386" s="8">
        <v>294</v>
      </c>
      <c r="G386" s="8">
        <v>1336.42</v>
      </c>
      <c r="H386" s="8">
        <v>5815.46</v>
      </c>
      <c r="I386" s="8">
        <v>28715.17</v>
      </c>
      <c r="J386" s="8">
        <v>1937</v>
      </c>
      <c r="K386" s="8">
        <v>294</v>
      </c>
      <c r="L386" s="8">
        <v>4833.2700000000004</v>
      </c>
      <c r="M386" s="8">
        <v>4.4000000000000004</v>
      </c>
      <c r="N386" s="8">
        <v>0.7</v>
      </c>
      <c r="O386" s="8">
        <v>1114.43</v>
      </c>
      <c r="P386" s="8">
        <v>1</v>
      </c>
      <c r="Q386" s="8" t="s">
        <v>1087</v>
      </c>
    </row>
    <row r="387" spans="1:17" x14ac:dyDescent="0.45">
      <c r="A387" s="8">
        <v>64.5</v>
      </c>
      <c r="B387" s="8">
        <v>93053.07</v>
      </c>
      <c r="C387" s="8">
        <v>658</v>
      </c>
      <c r="D387" s="8">
        <v>1</v>
      </c>
      <c r="E387" s="8">
        <v>0</v>
      </c>
      <c r="F387" s="8">
        <v>287</v>
      </c>
      <c r="G387" s="8">
        <v>1338.47</v>
      </c>
      <c r="H387" s="8">
        <v>14092.12</v>
      </c>
      <c r="I387" s="8">
        <v>52229.63</v>
      </c>
      <c r="J387" s="8">
        <v>2221</v>
      </c>
      <c r="K387" s="8">
        <v>287</v>
      </c>
      <c r="L387" s="8">
        <v>6955.63</v>
      </c>
      <c r="M387" s="8">
        <v>5.3</v>
      </c>
      <c r="N387" s="8">
        <v>6.6</v>
      </c>
      <c r="O387" s="8">
        <v>1170.6500000000001</v>
      </c>
      <c r="P387" s="8">
        <v>1</v>
      </c>
      <c r="Q387" s="8" t="s">
        <v>1087</v>
      </c>
    </row>
    <row r="388" spans="1:17" x14ac:dyDescent="0.45">
      <c r="A388" s="8">
        <v>52</v>
      </c>
      <c r="B388" s="8">
        <v>110072.73</v>
      </c>
      <c r="C388" s="8">
        <v>620</v>
      </c>
      <c r="D388" s="8">
        <v>0</v>
      </c>
      <c r="E388" s="8">
        <v>1</v>
      </c>
      <c r="F388" s="8">
        <v>28</v>
      </c>
      <c r="G388" s="8">
        <v>1347.91</v>
      </c>
      <c r="H388" s="8">
        <v>22730.43</v>
      </c>
      <c r="I388" s="8">
        <v>64614.02</v>
      </c>
      <c r="J388" s="8">
        <v>3259</v>
      </c>
      <c r="K388" s="8">
        <v>28</v>
      </c>
      <c r="L388" s="8">
        <v>4835.29</v>
      </c>
      <c r="M388" s="8">
        <v>6.1</v>
      </c>
      <c r="N388" s="8">
        <v>8</v>
      </c>
      <c r="O388" s="8">
        <v>838.97</v>
      </c>
      <c r="P388" s="8">
        <v>1</v>
      </c>
      <c r="Q388" s="8" t="s">
        <v>1087</v>
      </c>
    </row>
    <row r="389" spans="1:17" x14ac:dyDescent="0.45">
      <c r="A389" s="8">
        <v>35.299999999999997</v>
      </c>
      <c r="B389" s="8">
        <v>118210.47</v>
      </c>
      <c r="C389" s="8">
        <v>756</v>
      </c>
      <c r="D389" s="8">
        <v>0</v>
      </c>
      <c r="E389" s="8">
        <v>0</v>
      </c>
      <c r="F389" s="8">
        <v>79</v>
      </c>
      <c r="G389" s="8">
        <v>1354.26</v>
      </c>
      <c r="H389" s="8">
        <v>42364.05</v>
      </c>
      <c r="I389" s="8">
        <v>85632.88</v>
      </c>
      <c r="J389" s="8">
        <v>2999</v>
      </c>
      <c r="K389" s="8">
        <v>79</v>
      </c>
      <c r="L389" s="8">
        <v>4085.55</v>
      </c>
      <c r="M389" s="8">
        <v>3.3</v>
      </c>
      <c r="N389" s="8">
        <v>6.1</v>
      </c>
      <c r="O389" s="8">
        <v>966.54</v>
      </c>
      <c r="P389" s="8">
        <v>1</v>
      </c>
      <c r="Q389" s="8" t="s">
        <v>1087</v>
      </c>
    </row>
    <row r="390" spans="1:17" x14ac:dyDescent="0.45">
      <c r="A390" s="8">
        <v>66.3</v>
      </c>
      <c r="B390" s="8">
        <v>121186.87</v>
      </c>
      <c r="C390" s="8">
        <v>500</v>
      </c>
      <c r="D390" s="8">
        <v>1</v>
      </c>
      <c r="E390" s="8">
        <v>1</v>
      </c>
      <c r="F390" s="8">
        <v>242</v>
      </c>
      <c r="G390" s="8">
        <v>1393.79</v>
      </c>
      <c r="H390" s="8">
        <v>19652.990000000002</v>
      </c>
      <c r="I390" s="8">
        <v>72063.75</v>
      </c>
      <c r="J390" s="8">
        <v>4053</v>
      </c>
      <c r="K390" s="8">
        <v>242</v>
      </c>
      <c r="L390" s="8">
        <v>6461.13</v>
      </c>
      <c r="M390" s="8">
        <v>3.6</v>
      </c>
      <c r="N390" s="8">
        <v>4</v>
      </c>
      <c r="O390" s="8">
        <v>1072.3599999999999</v>
      </c>
      <c r="P390" s="8">
        <v>1</v>
      </c>
      <c r="Q390" s="8" t="s">
        <v>1087</v>
      </c>
    </row>
    <row r="391" spans="1:17" x14ac:dyDescent="0.45">
      <c r="A391" s="8">
        <v>73.7</v>
      </c>
      <c r="B391" s="8">
        <v>73232.87</v>
      </c>
      <c r="C391" s="8">
        <v>661</v>
      </c>
      <c r="D391" s="8">
        <v>0</v>
      </c>
      <c r="E391" s="8">
        <v>1</v>
      </c>
      <c r="F391" s="8">
        <v>177</v>
      </c>
      <c r="G391" s="8">
        <v>1397.83</v>
      </c>
      <c r="H391" s="8">
        <v>10093.98</v>
      </c>
      <c r="I391" s="8">
        <v>70925.679999999993</v>
      </c>
      <c r="J391" s="8">
        <v>1905</v>
      </c>
      <c r="K391" s="8">
        <v>177</v>
      </c>
      <c r="L391" s="8">
        <v>5277.92</v>
      </c>
      <c r="M391" s="8">
        <v>3.2</v>
      </c>
      <c r="N391" s="8">
        <v>9</v>
      </c>
      <c r="O391" s="8">
        <v>1248.9100000000001</v>
      </c>
      <c r="P391" s="8">
        <v>1</v>
      </c>
      <c r="Q391" s="8" t="s">
        <v>1087</v>
      </c>
    </row>
    <row r="392" spans="1:17" x14ac:dyDescent="0.45">
      <c r="A392" s="8">
        <v>57.7</v>
      </c>
      <c r="B392" s="8">
        <v>101801.79</v>
      </c>
      <c r="C392" s="8">
        <v>642</v>
      </c>
      <c r="D392" s="8">
        <v>0</v>
      </c>
      <c r="E392" s="8">
        <v>1</v>
      </c>
      <c r="F392" s="8">
        <v>2</v>
      </c>
      <c r="G392" s="8">
        <v>1399.22</v>
      </c>
      <c r="H392" s="8">
        <v>13395.55</v>
      </c>
      <c r="I392" s="8">
        <v>72444.14</v>
      </c>
      <c r="J392" s="8">
        <v>1342</v>
      </c>
      <c r="K392" s="8">
        <v>2</v>
      </c>
      <c r="L392" s="8">
        <v>5286.98</v>
      </c>
      <c r="M392" s="8">
        <v>5</v>
      </c>
      <c r="N392" s="8">
        <v>3.6</v>
      </c>
      <c r="O392" s="8">
        <v>1174.4000000000001</v>
      </c>
      <c r="P392" s="8">
        <v>1</v>
      </c>
      <c r="Q392" s="8" t="s">
        <v>1087</v>
      </c>
    </row>
    <row r="393" spans="1:17" x14ac:dyDescent="0.45">
      <c r="A393" s="8">
        <v>47.2</v>
      </c>
      <c r="B393" s="8">
        <v>86560.1</v>
      </c>
      <c r="C393" s="8">
        <v>558</v>
      </c>
      <c r="D393" s="8">
        <v>0</v>
      </c>
      <c r="E393" s="8">
        <v>1</v>
      </c>
      <c r="F393" s="8">
        <v>165</v>
      </c>
      <c r="G393" s="8">
        <v>1410.62</v>
      </c>
      <c r="H393" s="8">
        <v>19964.05</v>
      </c>
      <c r="I393" s="8">
        <v>52607.79</v>
      </c>
      <c r="J393" s="8">
        <v>818</v>
      </c>
      <c r="K393" s="8">
        <v>165</v>
      </c>
      <c r="L393" s="8">
        <v>1702.27</v>
      </c>
      <c r="M393" s="8">
        <v>3.8</v>
      </c>
      <c r="N393" s="8">
        <v>7.2</v>
      </c>
      <c r="O393" s="8">
        <v>1116.81</v>
      </c>
      <c r="P393" s="8">
        <v>1</v>
      </c>
      <c r="Q393" s="8" t="s">
        <v>1087</v>
      </c>
    </row>
    <row r="394" spans="1:17" x14ac:dyDescent="0.45">
      <c r="A394" s="8">
        <v>56.2</v>
      </c>
      <c r="B394" s="8">
        <v>89000.23</v>
      </c>
      <c r="C394" s="8">
        <v>760</v>
      </c>
      <c r="D394" s="8">
        <v>0</v>
      </c>
      <c r="E394" s="8">
        <v>0</v>
      </c>
      <c r="F394" s="8">
        <v>52</v>
      </c>
      <c r="G394" s="8">
        <v>1425.58</v>
      </c>
      <c r="H394" s="8">
        <v>8057.87</v>
      </c>
      <c r="I394" s="8">
        <v>74883.839999999997</v>
      </c>
      <c r="J394" s="8">
        <v>4197</v>
      </c>
      <c r="K394" s="8">
        <v>52</v>
      </c>
      <c r="L394" s="8">
        <v>8980</v>
      </c>
      <c r="M394" s="8">
        <v>5.3</v>
      </c>
      <c r="N394" s="8">
        <v>4.5</v>
      </c>
      <c r="O394" s="8">
        <v>751.28</v>
      </c>
      <c r="P394" s="8">
        <v>1</v>
      </c>
      <c r="Q394" s="8" t="s">
        <v>1087</v>
      </c>
    </row>
    <row r="395" spans="1:17" x14ac:dyDescent="0.45">
      <c r="A395" s="8">
        <v>18</v>
      </c>
      <c r="B395" s="8">
        <v>52424.3</v>
      </c>
      <c r="C395" s="8">
        <v>593</v>
      </c>
      <c r="D395" s="8">
        <v>0</v>
      </c>
      <c r="E395" s="8">
        <v>0</v>
      </c>
      <c r="F395" s="8">
        <v>171</v>
      </c>
      <c r="G395" s="8">
        <v>1441.11</v>
      </c>
      <c r="H395" s="8">
        <v>53987.64</v>
      </c>
      <c r="I395" s="8">
        <v>27981.919999999998</v>
      </c>
      <c r="J395" s="8">
        <v>4501</v>
      </c>
      <c r="K395" s="8">
        <v>171</v>
      </c>
      <c r="L395" s="8">
        <v>9450.2199999999993</v>
      </c>
      <c r="M395" s="8">
        <v>4.8</v>
      </c>
      <c r="N395" s="8">
        <v>7.8</v>
      </c>
      <c r="O395" s="8">
        <v>1095.26</v>
      </c>
      <c r="P395" s="8">
        <v>1</v>
      </c>
      <c r="Q395" s="8" t="s">
        <v>1087</v>
      </c>
    </row>
    <row r="396" spans="1:17" x14ac:dyDescent="0.45">
      <c r="A396" s="8">
        <v>73.5</v>
      </c>
      <c r="B396" s="8">
        <v>156346.04</v>
      </c>
      <c r="C396" s="8">
        <v>631</v>
      </c>
      <c r="D396" s="8">
        <v>1</v>
      </c>
      <c r="E396" s="8">
        <v>0</v>
      </c>
      <c r="F396" s="8">
        <v>74</v>
      </c>
      <c r="G396" s="8">
        <v>1459.69</v>
      </c>
      <c r="H396" s="8">
        <v>18544.98</v>
      </c>
      <c r="I396" s="8">
        <v>122754.97</v>
      </c>
      <c r="J396" s="8">
        <v>1933</v>
      </c>
      <c r="K396" s="8">
        <v>74</v>
      </c>
      <c r="L396" s="8">
        <v>2653.85</v>
      </c>
      <c r="M396" s="8">
        <v>7</v>
      </c>
      <c r="N396" s="8">
        <v>2</v>
      </c>
      <c r="O396" s="8">
        <v>1397.24</v>
      </c>
      <c r="P396" s="8">
        <v>1</v>
      </c>
      <c r="Q396" s="8" t="s">
        <v>1087</v>
      </c>
    </row>
    <row r="397" spans="1:17" x14ac:dyDescent="0.45">
      <c r="A397" s="8">
        <v>78.099999999999994</v>
      </c>
      <c r="B397" s="8">
        <v>69056.75</v>
      </c>
      <c r="C397" s="8">
        <v>580</v>
      </c>
      <c r="D397" s="8">
        <v>1</v>
      </c>
      <c r="E397" s="8">
        <v>0</v>
      </c>
      <c r="F397" s="8">
        <v>242</v>
      </c>
      <c r="G397" s="8">
        <v>1497.35</v>
      </c>
      <c r="H397" s="8">
        <v>43497.98</v>
      </c>
      <c r="I397" s="8">
        <v>50255.43</v>
      </c>
      <c r="J397" s="8">
        <v>1188</v>
      </c>
      <c r="K397" s="8">
        <v>242</v>
      </c>
      <c r="L397" s="8">
        <v>3994.23</v>
      </c>
      <c r="M397" s="8">
        <v>5.4</v>
      </c>
      <c r="N397" s="8">
        <v>6.1</v>
      </c>
      <c r="O397" s="8">
        <v>1163.96</v>
      </c>
      <c r="P397" s="8">
        <v>1</v>
      </c>
      <c r="Q397" s="8" t="s">
        <v>1087</v>
      </c>
    </row>
    <row r="398" spans="1:17" x14ac:dyDescent="0.45">
      <c r="A398" s="8">
        <v>46.2</v>
      </c>
      <c r="B398" s="8">
        <v>88169.18</v>
      </c>
      <c r="C398" s="8">
        <v>641</v>
      </c>
      <c r="D398" s="8">
        <v>0</v>
      </c>
      <c r="E398" s="8">
        <v>1</v>
      </c>
      <c r="F398" s="8">
        <v>113</v>
      </c>
      <c r="G398" s="8">
        <v>1534.4</v>
      </c>
      <c r="H398" s="8">
        <v>3339.61</v>
      </c>
      <c r="I398" s="8">
        <v>57934.9</v>
      </c>
      <c r="J398" s="8">
        <v>4396</v>
      </c>
      <c r="K398" s="8">
        <v>113</v>
      </c>
      <c r="L398" s="8">
        <v>5716.43</v>
      </c>
      <c r="M398" s="8">
        <v>3.2</v>
      </c>
      <c r="N398" s="8">
        <v>6.3</v>
      </c>
      <c r="O398" s="8">
        <v>832.99</v>
      </c>
      <c r="P398" s="8">
        <v>1</v>
      </c>
      <c r="Q398" s="8" t="s">
        <v>1087</v>
      </c>
    </row>
    <row r="399" spans="1:17" x14ac:dyDescent="0.45">
      <c r="A399" s="8">
        <v>43.3</v>
      </c>
      <c r="B399" s="8">
        <v>116958.86</v>
      </c>
      <c r="C399" s="8">
        <v>591</v>
      </c>
      <c r="D399" s="8">
        <v>0</v>
      </c>
      <c r="E399" s="8">
        <v>1</v>
      </c>
      <c r="F399" s="8">
        <v>113</v>
      </c>
      <c r="G399" s="8">
        <v>1542.57</v>
      </c>
      <c r="H399" s="8">
        <v>18017.240000000002</v>
      </c>
      <c r="I399" s="8">
        <v>47646.96</v>
      </c>
      <c r="J399" s="8">
        <v>2229</v>
      </c>
      <c r="K399" s="8">
        <v>113</v>
      </c>
      <c r="L399" s="8">
        <v>5870.6</v>
      </c>
      <c r="M399" s="8">
        <v>3.5</v>
      </c>
      <c r="N399" s="8">
        <v>9.5</v>
      </c>
      <c r="O399" s="8">
        <v>779.4</v>
      </c>
      <c r="P399" s="8">
        <v>1</v>
      </c>
      <c r="Q399" s="8" t="s">
        <v>1087</v>
      </c>
    </row>
    <row r="400" spans="1:17" x14ac:dyDescent="0.45">
      <c r="A400" s="8">
        <v>42.9</v>
      </c>
      <c r="B400" s="8">
        <v>41531.94</v>
      </c>
      <c r="C400" s="8">
        <v>712</v>
      </c>
      <c r="D400" s="8">
        <v>0</v>
      </c>
      <c r="E400" s="8">
        <v>0</v>
      </c>
      <c r="F400" s="8">
        <v>120</v>
      </c>
      <c r="G400" s="8">
        <v>1551.59</v>
      </c>
      <c r="H400" s="8">
        <v>32429.81</v>
      </c>
      <c r="I400" s="8">
        <v>22669.200000000001</v>
      </c>
      <c r="J400" s="8">
        <v>3429</v>
      </c>
      <c r="K400" s="8">
        <v>120</v>
      </c>
      <c r="L400" s="8">
        <v>2347.71</v>
      </c>
      <c r="M400" s="8">
        <v>5.4</v>
      </c>
      <c r="N400" s="8">
        <v>3.1</v>
      </c>
      <c r="O400" s="8">
        <v>1161.19</v>
      </c>
      <c r="P400" s="8">
        <v>1</v>
      </c>
      <c r="Q400" s="8" t="s">
        <v>1087</v>
      </c>
    </row>
    <row r="401" spans="1:17" x14ac:dyDescent="0.45">
      <c r="A401" s="8">
        <v>56</v>
      </c>
      <c r="B401" s="8">
        <v>46128.52</v>
      </c>
      <c r="C401" s="8">
        <v>591</v>
      </c>
      <c r="D401" s="8">
        <v>0</v>
      </c>
      <c r="E401" s="8">
        <v>1</v>
      </c>
      <c r="F401" s="8">
        <v>39</v>
      </c>
      <c r="G401" s="8">
        <v>1554</v>
      </c>
      <c r="H401" s="8">
        <v>25279.06</v>
      </c>
      <c r="I401" s="8">
        <v>33393.730000000003</v>
      </c>
      <c r="J401" s="8">
        <v>3295</v>
      </c>
      <c r="K401" s="8">
        <v>39</v>
      </c>
      <c r="L401" s="8">
        <v>6601.04</v>
      </c>
      <c r="M401" s="8">
        <v>4.9000000000000004</v>
      </c>
      <c r="N401" s="8">
        <v>5.9</v>
      </c>
      <c r="O401" s="8">
        <v>1225.3599999999999</v>
      </c>
      <c r="P401" s="8">
        <v>1</v>
      </c>
      <c r="Q401" s="8" t="s">
        <v>1087</v>
      </c>
    </row>
    <row r="402" spans="1:17" x14ac:dyDescent="0.45">
      <c r="A402" s="8">
        <v>65.8</v>
      </c>
      <c r="B402" s="8">
        <v>83999.679999999993</v>
      </c>
      <c r="C402" s="8">
        <v>748</v>
      </c>
      <c r="D402" s="8">
        <v>0</v>
      </c>
      <c r="E402" s="8">
        <v>1</v>
      </c>
      <c r="F402" s="8">
        <v>168</v>
      </c>
      <c r="G402" s="8">
        <v>1561.84</v>
      </c>
      <c r="H402" s="8">
        <v>23745.8</v>
      </c>
      <c r="I402" s="8">
        <v>57044.39</v>
      </c>
      <c r="J402" s="8">
        <v>2254</v>
      </c>
      <c r="K402" s="8">
        <v>168</v>
      </c>
      <c r="L402" s="8">
        <v>3929.9</v>
      </c>
      <c r="M402" s="8">
        <v>6.3</v>
      </c>
      <c r="N402" s="8">
        <v>5.3</v>
      </c>
      <c r="O402" s="8">
        <v>1124.6199999999999</v>
      </c>
      <c r="P402" s="8">
        <v>1</v>
      </c>
      <c r="Q402" s="8" t="s">
        <v>1087</v>
      </c>
    </row>
    <row r="403" spans="1:17" x14ac:dyDescent="0.45">
      <c r="A403" s="8">
        <v>40.700000000000003</v>
      </c>
      <c r="B403" s="8">
        <v>84952.53</v>
      </c>
      <c r="C403" s="8">
        <v>712</v>
      </c>
      <c r="D403" s="8">
        <v>0</v>
      </c>
      <c r="E403" s="8">
        <v>1</v>
      </c>
      <c r="F403" s="8">
        <v>293</v>
      </c>
      <c r="G403" s="8">
        <v>1571</v>
      </c>
      <c r="H403" s="8">
        <v>4706.6099999999997</v>
      </c>
      <c r="I403" s="8">
        <v>63035.16</v>
      </c>
      <c r="J403" s="8">
        <v>3820</v>
      </c>
      <c r="K403" s="8">
        <v>293</v>
      </c>
      <c r="L403" s="8">
        <v>6094.2</v>
      </c>
      <c r="M403" s="8">
        <v>2</v>
      </c>
      <c r="N403" s="8">
        <v>5.3</v>
      </c>
      <c r="O403" s="8">
        <v>1339.58</v>
      </c>
      <c r="P403" s="8">
        <v>1</v>
      </c>
      <c r="Q403" s="8" t="s">
        <v>1087</v>
      </c>
    </row>
    <row r="404" spans="1:17" x14ac:dyDescent="0.45">
      <c r="A404" s="8">
        <v>42</v>
      </c>
      <c r="B404" s="8">
        <v>123422.97</v>
      </c>
      <c r="C404" s="8">
        <v>690</v>
      </c>
      <c r="D404" s="8">
        <v>0</v>
      </c>
      <c r="E404" s="8">
        <v>1</v>
      </c>
      <c r="F404" s="8">
        <v>8</v>
      </c>
      <c r="G404" s="8">
        <v>1571.08</v>
      </c>
      <c r="H404" s="8">
        <v>724.78</v>
      </c>
      <c r="I404" s="8">
        <v>60141.26</v>
      </c>
      <c r="J404" s="8">
        <v>633</v>
      </c>
      <c r="K404" s="8">
        <v>8</v>
      </c>
      <c r="L404" s="8">
        <v>9514.91</v>
      </c>
      <c r="M404" s="8">
        <v>6.7</v>
      </c>
      <c r="N404" s="8">
        <v>9.5</v>
      </c>
      <c r="O404" s="8">
        <v>1057.68</v>
      </c>
      <c r="P404" s="8">
        <v>1</v>
      </c>
      <c r="Q404" s="8" t="s">
        <v>1087</v>
      </c>
    </row>
    <row r="405" spans="1:17" x14ac:dyDescent="0.45">
      <c r="A405" s="8">
        <v>31.8</v>
      </c>
      <c r="B405" s="8">
        <v>113437.03</v>
      </c>
      <c r="C405" s="8">
        <v>686</v>
      </c>
      <c r="D405" s="8">
        <v>1</v>
      </c>
      <c r="E405" s="8">
        <v>0</v>
      </c>
      <c r="F405" s="8">
        <v>198</v>
      </c>
      <c r="G405" s="8">
        <v>1574.15</v>
      </c>
      <c r="H405" s="8">
        <v>2308.52</v>
      </c>
      <c r="I405" s="8">
        <v>59985.83</v>
      </c>
      <c r="J405" s="8">
        <v>1439</v>
      </c>
      <c r="K405" s="8">
        <v>198</v>
      </c>
      <c r="L405" s="8">
        <v>1722.27</v>
      </c>
      <c r="M405" s="8">
        <v>1.6</v>
      </c>
      <c r="N405" s="8">
        <v>6.6</v>
      </c>
      <c r="O405" s="8">
        <v>1311.48</v>
      </c>
      <c r="P405" s="8">
        <v>1</v>
      </c>
      <c r="Q405" s="8" t="s">
        <v>1087</v>
      </c>
    </row>
    <row r="406" spans="1:17" x14ac:dyDescent="0.45">
      <c r="A406" s="8">
        <v>61.4</v>
      </c>
      <c r="B406" s="8">
        <v>114840.13</v>
      </c>
      <c r="C406" s="8">
        <v>623</v>
      </c>
      <c r="D406" s="8">
        <v>0</v>
      </c>
      <c r="E406" s="8">
        <v>0</v>
      </c>
      <c r="F406" s="8">
        <v>136</v>
      </c>
      <c r="G406" s="8">
        <v>1596.47</v>
      </c>
      <c r="H406" s="8">
        <v>40203.629999999997</v>
      </c>
      <c r="I406" s="8">
        <v>72340.12</v>
      </c>
      <c r="J406" s="8">
        <v>1129</v>
      </c>
      <c r="K406" s="8">
        <v>136</v>
      </c>
      <c r="L406" s="8">
        <v>5614.46</v>
      </c>
      <c r="M406" s="8">
        <v>7.1</v>
      </c>
      <c r="N406" s="8">
        <v>5.3</v>
      </c>
      <c r="O406" s="8">
        <v>1117.5</v>
      </c>
      <c r="P406" s="8">
        <v>1</v>
      </c>
      <c r="Q406" s="8" t="s">
        <v>1087</v>
      </c>
    </row>
    <row r="407" spans="1:17" x14ac:dyDescent="0.45">
      <c r="A407" s="8">
        <v>64.3</v>
      </c>
      <c r="B407" s="8">
        <v>73834.23</v>
      </c>
      <c r="C407" s="8">
        <v>721</v>
      </c>
      <c r="D407" s="8">
        <v>1</v>
      </c>
      <c r="E407" s="8">
        <v>1</v>
      </c>
      <c r="F407" s="8">
        <v>226</v>
      </c>
      <c r="G407" s="8">
        <v>1649.22</v>
      </c>
      <c r="H407" s="8">
        <v>966.94</v>
      </c>
      <c r="I407" s="8">
        <v>46485.84</v>
      </c>
      <c r="J407" s="8">
        <v>3159</v>
      </c>
      <c r="K407" s="8">
        <v>226</v>
      </c>
      <c r="L407" s="8">
        <v>5226.04</v>
      </c>
      <c r="M407" s="8">
        <v>4</v>
      </c>
      <c r="N407" s="8">
        <v>8.1</v>
      </c>
      <c r="O407" s="8">
        <v>890.86</v>
      </c>
      <c r="P407" s="8">
        <v>1</v>
      </c>
      <c r="Q407" s="8" t="s">
        <v>1087</v>
      </c>
    </row>
    <row r="408" spans="1:17" x14ac:dyDescent="0.45">
      <c r="A408" s="8">
        <v>37.1</v>
      </c>
      <c r="B408" s="8">
        <v>53462.35</v>
      </c>
      <c r="C408" s="8">
        <v>573</v>
      </c>
      <c r="D408" s="8">
        <v>0</v>
      </c>
      <c r="E408" s="8">
        <v>0</v>
      </c>
      <c r="F408" s="8">
        <v>268</v>
      </c>
      <c r="G408" s="8">
        <v>1654.07</v>
      </c>
      <c r="H408" s="8">
        <v>4143.54</v>
      </c>
      <c r="I408" s="8">
        <v>33479.050000000003</v>
      </c>
      <c r="J408" s="8">
        <v>2678</v>
      </c>
      <c r="K408" s="8">
        <v>268</v>
      </c>
      <c r="L408" s="8">
        <v>5953.59</v>
      </c>
      <c r="M408" s="8">
        <v>3.8</v>
      </c>
      <c r="N408" s="8">
        <v>6.6</v>
      </c>
      <c r="O408" s="8">
        <v>1443.78</v>
      </c>
      <c r="P408" s="8">
        <v>1</v>
      </c>
      <c r="Q408" s="8" t="s">
        <v>1087</v>
      </c>
    </row>
    <row r="409" spans="1:17" x14ac:dyDescent="0.45">
      <c r="A409" s="8">
        <v>50.9</v>
      </c>
      <c r="B409" s="8">
        <v>60326.09</v>
      </c>
      <c r="C409" s="8">
        <v>493</v>
      </c>
      <c r="D409" s="8">
        <v>1</v>
      </c>
      <c r="E409" s="8">
        <v>0</v>
      </c>
      <c r="F409" s="8">
        <v>154</v>
      </c>
      <c r="G409" s="8">
        <v>1673.38</v>
      </c>
      <c r="H409" s="8">
        <v>510.44</v>
      </c>
      <c r="I409" s="8">
        <v>31122.9</v>
      </c>
      <c r="J409" s="8">
        <v>2798</v>
      </c>
      <c r="K409" s="8">
        <v>154</v>
      </c>
      <c r="L409" s="8">
        <v>5571.76</v>
      </c>
      <c r="M409" s="8">
        <v>4.3</v>
      </c>
      <c r="N409" s="8">
        <v>6.3</v>
      </c>
      <c r="O409" s="8">
        <v>849.71</v>
      </c>
      <c r="P409" s="8">
        <v>1</v>
      </c>
      <c r="Q409" s="8" t="s">
        <v>1087</v>
      </c>
    </row>
    <row r="410" spans="1:17" x14ac:dyDescent="0.45">
      <c r="A410" s="8">
        <v>47.1</v>
      </c>
      <c r="B410" s="8">
        <v>40856.980000000003</v>
      </c>
      <c r="C410" s="8">
        <v>745</v>
      </c>
      <c r="D410" s="8">
        <v>1</v>
      </c>
      <c r="E410" s="8">
        <v>1</v>
      </c>
      <c r="F410" s="8">
        <v>33</v>
      </c>
      <c r="G410" s="8">
        <v>1682.43</v>
      </c>
      <c r="H410" s="8">
        <v>9459.9</v>
      </c>
      <c r="I410" s="8">
        <v>40856.980000000003</v>
      </c>
      <c r="J410" s="8">
        <v>3604</v>
      </c>
      <c r="K410" s="8">
        <v>33</v>
      </c>
      <c r="L410" s="8">
        <v>9849.65</v>
      </c>
      <c r="M410" s="8">
        <v>1.8</v>
      </c>
      <c r="N410" s="8">
        <v>8.5</v>
      </c>
      <c r="O410" s="8">
        <v>1469.37</v>
      </c>
      <c r="P410" s="8">
        <v>1</v>
      </c>
      <c r="Q410" s="8" t="s">
        <v>1087</v>
      </c>
    </row>
    <row r="411" spans="1:17" x14ac:dyDescent="0.45">
      <c r="A411" s="8">
        <v>48.4</v>
      </c>
      <c r="B411" s="8">
        <v>75644.149999999994</v>
      </c>
      <c r="C411" s="8">
        <v>685</v>
      </c>
      <c r="D411" s="8">
        <v>0</v>
      </c>
      <c r="E411" s="8">
        <v>1</v>
      </c>
      <c r="F411" s="8">
        <v>260</v>
      </c>
      <c r="G411" s="8">
        <v>1733.91</v>
      </c>
      <c r="H411" s="8">
        <v>1102.53</v>
      </c>
      <c r="I411" s="8">
        <v>42024.32</v>
      </c>
      <c r="J411" s="8">
        <v>1049</v>
      </c>
      <c r="K411" s="8">
        <v>260</v>
      </c>
      <c r="L411" s="8">
        <v>2983.76</v>
      </c>
      <c r="M411" s="8">
        <v>6.1</v>
      </c>
      <c r="N411" s="8">
        <v>6.6</v>
      </c>
      <c r="O411" s="8">
        <v>1632.58</v>
      </c>
      <c r="P411" s="8">
        <v>1</v>
      </c>
      <c r="Q411" s="8" t="s">
        <v>1087</v>
      </c>
    </row>
    <row r="412" spans="1:17" x14ac:dyDescent="0.45">
      <c r="A412" s="8">
        <v>45.6</v>
      </c>
      <c r="B412" s="8">
        <v>86254.35</v>
      </c>
      <c r="C412" s="8">
        <v>711</v>
      </c>
      <c r="D412" s="8">
        <v>1</v>
      </c>
      <c r="E412" s="8">
        <v>1</v>
      </c>
      <c r="F412" s="8">
        <v>249</v>
      </c>
      <c r="G412" s="8">
        <v>1738.66</v>
      </c>
      <c r="H412" s="8">
        <v>822.39</v>
      </c>
      <c r="I412" s="8">
        <v>70016.89</v>
      </c>
      <c r="J412" s="8">
        <v>3121</v>
      </c>
      <c r="K412" s="8">
        <v>249</v>
      </c>
      <c r="L412" s="8">
        <v>8081.3</v>
      </c>
      <c r="M412" s="8">
        <v>4</v>
      </c>
      <c r="N412" s="8">
        <v>5.3</v>
      </c>
      <c r="O412" s="8">
        <v>1557.6</v>
      </c>
      <c r="P412" s="8">
        <v>1</v>
      </c>
      <c r="Q412" s="8" t="s">
        <v>1087</v>
      </c>
    </row>
    <row r="413" spans="1:17" x14ac:dyDescent="0.45">
      <c r="A413" s="8">
        <v>51</v>
      </c>
      <c r="B413" s="8">
        <v>91041.67</v>
      </c>
      <c r="C413" s="8">
        <v>733</v>
      </c>
      <c r="D413" s="8">
        <v>0</v>
      </c>
      <c r="E413" s="8">
        <v>0</v>
      </c>
      <c r="F413" s="8">
        <v>131</v>
      </c>
      <c r="G413" s="8">
        <v>1762.85</v>
      </c>
      <c r="H413" s="8">
        <v>3897.98</v>
      </c>
      <c r="I413" s="8">
        <v>56123.48</v>
      </c>
      <c r="J413" s="8">
        <v>1263</v>
      </c>
      <c r="K413" s="8">
        <v>131</v>
      </c>
      <c r="L413" s="8">
        <v>9614.2099999999991</v>
      </c>
      <c r="M413" s="8">
        <v>5.3</v>
      </c>
      <c r="N413" s="8">
        <v>1.8</v>
      </c>
      <c r="O413" s="8">
        <v>1522.9</v>
      </c>
      <c r="P413" s="8">
        <v>1</v>
      </c>
      <c r="Q413" s="8" t="s">
        <v>1087</v>
      </c>
    </row>
    <row r="414" spans="1:17" x14ac:dyDescent="0.45">
      <c r="A414" s="8">
        <v>30.2</v>
      </c>
      <c r="B414" s="8">
        <v>99744.77</v>
      </c>
      <c r="C414" s="8">
        <v>744</v>
      </c>
      <c r="D414" s="8">
        <v>0</v>
      </c>
      <c r="E414" s="8">
        <v>0</v>
      </c>
      <c r="F414" s="8">
        <v>112</v>
      </c>
      <c r="G414" s="8">
        <v>1800.33</v>
      </c>
      <c r="H414" s="8">
        <v>6309.54</v>
      </c>
      <c r="I414" s="8">
        <v>73587.47</v>
      </c>
      <c r="J414" s="8">
        <v>4420</v>
      </c>
      <c r="K414" s="8">
        <v>112</v>
      </c>
      <c r="L414" s="8">
        <v>2727.31</v>
      </c>
      <c r="M414" s="8">
        <v>5.9</v>
      </c>
      <c r="N414" s="8">
        <v>11.2</v>
      </c>
      <c r="O414" s="8">
        <v>1128.6199999999999</v>
      </c>
      <c r="P414" s="8">
        <v>1</v>
      </c>
      <c r="Q414" s="8" t="s">
        <v>1087</v>
      </c>
    </row>
    <row r="415" spans="1:17" x14ac:dyDescent="0.45">
      <c r="A415" s="8">
        <v>81.8</v>
      </c>
      <c r="B415" s="8">
        <v>94896.66</v>
      </c>
      <c r="C415" s="8">
        <v>726</v>
      </c>
      <c r="D415" s="8">
        <v>1</v>
      </c>
      <c r="E415" s="8">
        <v>0</v>
      </c>
      <c r="F415" s="8">
        <v>216</v>
      </c>
      <c r="G415" s="8">
        <v>1800.71</v>
      </c>
      <c r="H415" s="8">
        <v>3770.72</v>
      </c>
      <c r="I415" s="8">
        <v>62037.13</v>
      </c>
      <c r="J415" s="8">
        <v>3462</v>
      </c>
      <c r="K415" s="8">
        <v>216</v>
      </c>
      <c r="L415" s="8">
        <v>2250.4899999999998</v>
      </c>
      <c r="M415" s="8">
        <v>4.5</v>
      </c>
      <c r="N415" s="8">
        <v>3.5</v>
      </c>
      <c r="O415" s="8">
        <v>1385.27</v>
      </c>
      <c r="P415" s="8">
        <v>1</v>
      </c>
      <c r="Q415" s="8" t="s">
        <v>1087</v>
      </c>
    </row>
    <row r="416" spans="1:17" x14ac:dyDescent="0.45">
      <c r="A416" s="8">
        <v>53.4</v>
      </c>
      <c r="B416" s="8">
        <v>58827.02</v>
      </c>
      <c r="C416" s="8">
        <v>500</v>
      </c>
      <c r="D416" s="8">
        <v>1</v>
      </c>
      <c r="E416" s="8">
        <v>1</v>
      </c>
      <c r="F416" s="8">
        <v>139</v>
      </c>
      <c r="G416" s="8">
        <v>1906.43</v>
      </c>
      <c r="H416" s="8">
        <v>3945.41</v>
      </c>
      <c r="I416" s="8">
        <v>15000</v>
      </c>
      <c r="J416" s="8">
        <v>1289</v>
      </c>
      <c r="K416" s="8">
        <v>139</v>
      </c>
      <c r="L416" s="8">
        <v>5283.06</v>
      </c>
      <c r="M416" s="8">
        <v>2.1</v>
      </c>
      <c r="N416" s="8">
        <v>2.5</v>
      </c>
      <c r="O416" s="8">
        <v>1733.32</v>
      </c>
      <c r="P416" s="8">
        <v>1</v>
      </c>
      <c r="Q416" s="8" t="s">
        <v>1087</v>
      </c>
    </row>
    <row r="417" spans="1:17" x14ac:dyDescent="0.45">
      <c r="A417" s="8">
        <v>78.5</v>
      </c>
      <c r="B417" s="8">
        <v>44458.53</v>
      </c>
      <c r="C417" s="8">
        <v>593</v>
      </c>
      <c r="D417" s="8">
        <v>1</v>
      </c>
      <c r="E417" s="8">
        <v>0</v>
      </c>
      <c r="F417" s="8">
        <v>12</v>
      </c>
      <c r="G417" s="8">
        <v>1948.62</v>
      </c>
      <c r="H417" s="8">
        <v>1229.3699999999999</v>
      </c>
      <c r="I417" s="8">
        <v>42657.4</v>
      </c>
      <c r="J417" s="8">
        <v>106</v>
      </c>
      <c r="K417" s="8">
        <v>12</v>
      </c>
      <c r="L417" s="8">
        <v>6039.78</v>
      </c>
      <c r="M417" s="8">
        <v>5.8</v>
      </c>
      <c r="N417" s="8">
        <v>3.7</v>
      </c>
      <c r="O417" s="8">
        <v>1232.99</v>
      </c>
      <c r="P417" s="8">
        <v>1</v>
      </c>
      <c r="Q417" s="8" t="s">
        <v>1087</v>
      </c>
    </row>
    <row r="418" spans="1:17" x14ac:dyDescent="0.45">
      <c r="A418" s="8">
        <v>45.1</v>
      </c>
      <c r="B418" s="8">
        <v>130749.44</v>
      </c>
      <c r="C418" s="8">
        <v>582</v>
      </c>
      <c r="D418" s="8">
        <v>0</v>
      </c>
      <c r="E418" s="8">
        <v>1</v>
      </c>
      <c r="F418" s="8">
        <v>175</v>
      </c>
      <c r="G418" s="8">
        <v>1971.3</v>
      </c>
      <c r="H418" s="8">
        <v>1476.28</v>
      </c>
      <c r="I418" s="8">
        <v>78950.53</v>
      </c>
      <c r="J418" s="8">
        <v>1642</v>
      </c>
      <c r="K418" s="8">
        <v>175</v>
      </c>
      <c r="L418" s="8">
        <v>6401.35</v>
      </c>
      <c r="M418" s="8">
        <v>2.4</v>
      </c>
      <c r="N418" s="8">
        <v>7.5</v>
      </c>
      <c r="O418" s="8">
        <v>1568.76</v>
      </c>
      <c r="P418" s="8">
        <v>1</v>
      </c>
      <c r="Q418" s="8" t="s">
        <v>1087</v>
      </c>
    </row>
    <row r="419" spans="1:17" x14ac:dyDescent="0.45">
      <c r="A419" s="8">
        <v>84.7</v>
      </c>
      <c r="B419" s="8">
        <v>56846.58</v>
      </c>
      <c r="C419" s="8">
        <v>592</v>
      </c>
      <c r="D419" s="8">
        <v>0</v>
      </c>
      <c r="E419" s="8">
        <v>0</v>
      </c>
      <c r="F419" s="8">
        <v>104</v>
      </c>
      <c r="G419" s="8">
        <v>1971.46</v>
      </c>
      <c r="H419" s="8">
        <v>17581.240000000002</v>
      </c>
      <c r="I419" s="8">
        <v>36211.760000000002</v>
      </c>
      <c r="J419" s="8">
        <v>4113</v>
      </c>
      <c r="K419" s="8">
        <v>104</v>
      </c>
      <c r="L419" s="8">
        <v>2292.4299999999998</v>
      </c>
      <c r="M419" s="8">
        <v>2.9</v>
      </c>
      <c r="N419" s="8">
        <v>7.6</v>
      </c>
      <c r="O419" s="8">
        <v>1459.13</v>
      </c>
      <c r="P419" s="8">
        <v>1</v>
      </c>
      <c r="Q419" s="8" t="s">
        <v>1087</v>
      </c>
    </row>
    <row r="420" spans="1:17" x14ac:dyDescent="0.45">
      <c r="A420" s="8">
        <v>72</v>
      </c>
      <c r="B420" s="8">
        <v>112955.74</v>
      </c>
      <c r="C420" s="8">
        <v>529</v>
      </c>
      <c r="D420" s="8">
        <v>0</v>
      </c>
      <c r="E420" s="8">
        <v>1</v>
      </c>
      <c r="F420" s="8">
        <v>296</v>
      </c>
      <c r="G420" s="8">
        <v>1986.79</v>
      </c>
      <c r="H420" s="8">
        <v>35281.279999999999</v>
      </c>
      <c r="I420" s="8">
        <v>57853.96</v>
      </c>
      <c r="J420" s="8">
        <v>2200</v>
      </c>
      <c r="K420" s="8">
        <v>296</v>
      </c>
      <c r="L420" s="8">
        <v>6405.54</v>
      </c>
      <c r="M420" s="8">
        <v>2.8</v>
      </c>
      <c r="N420" s="8">
        <v>6.6</v>
      </c>
      <c r="O420" s="8">
        <v>1558.79</v>
      </c>
      <c r="P420" s="8">
        <v>1</v>
      </c>
      <c r="Q420" s="8" t="s">
        <v>1087</v>
      </c>
    </row>
    <row r="421" spans="1:17" x14ac:dyDescent="0.45">
      <c r="A421" s="8">
        <v>50.9</v>
      </c>
      <c r="B421" s="8">
        <v>85285.13</v>
      </c>
      <c r="C421" s="8">
        <v>671</v>
      </c>
      <c r="D421" s="8">
        <v>0</v>
      </c>
      <c r="E421" s="8">
        <v>0</v>
      </c>
      <c r="F421" s="8">
        <v>48</v>
      </c>
      <c r="G421" s="8">
        <v>1996.87</v>
      </c>
      <c r="H421" s="8">
        <v>2631.44</v>
      </c>
      <c r="I421" s="8">
        <v>59469.57</v>
      </c>
      <c r="J421" s="8">
        <v>2516</v>
      </c>
      <c r="K421" s="8">
        <v>48</v>
      </c>
      <c r="L421" s="8">
        <v>7272.51</v>
      </c>
      <c r="M421" s="8">
        <v>5.0999999999999996</v>
      </c>
      <c r="N421" s="8">
        <v>5.0999999999999996</v>
      </c>
      <c r="O421" s="8">
        <v>1009.99</v>
      </c>
      <c r="P421" s="8">
        <v>1</v>
      </c>
      <c r="Q421" s="8" t="s">
        <v>1087</v>
      </c>
    </row>
    <row r="422" spans="1:17" x14ac:dyDescent="0.45">
      <c r="A422" s="8">
        <v>30.1</v>
      </c>
      <c r="B422" s="8">
        <v>65104.28</v>
      </c>
      <c r="C422" s="8">
        <v>634</v>
      </c>
      <c r="D422" s="8">
        <v>1</v>
      </c>
      <c r="E422" s="8">
        <v>0</v>
      </c>
      <c r="F422" s="8">
        <v>260</v>
      </c>
      <c r="G422" s="8">
        <v>2028.37</v>
      </c>
      <c r="H422" s="8">
        <v>446.26</v>
      </c>
      <c r="I422" s="8">
        <v>38545.14</v>
      </c>
      <c r="J422" s="8">
        <v>3561</v>
      </c>
      <c r="K422" s="8">
        <v>260</v>
      </c>
      <c r="L422" s="8">
        <v>3172.81</v>
      </c>
      <c r="M422" s="8">
        <v>2.7</v>
      </c>
      <c r="N422" s="8">
        <v>4.5</v>
      </c>
      <c r="O422" s="8">
        <v>1194.28</v>
      </c>
      <c r="P422" s="8">
        <v>1</v>
      </c>
      <c r="Q422" s="8" t="s">
        <v>1087</v>
      </c>
    </row>
    <row r="423" spans="1:17" x14ac:dyDescent="0.45">
      <c r="A423" s="8">
        <v>54.7</v>
      </c>
      <c r="B423" s="8">
        <v>95582.48</v>
      </c>
      <c r="C423" s="8">
        <v>548</v>
      </c>
      <c r="D423" s="8">
        <v>1</v>
      </c>
      <c r="E423" s="8">
        <v>0</v>
      </c>
      <c r="F423" s="8">
        <v>286</v>
      </c>
      <c r="G423" s="8">
        <v>2028.92</v>
      </c>
      <c r="H423" s="8">
        <v>27872.43</v>
      </c>
      <c r="I423" s="8">
        <v>35776.559999999998</v>
      </c>
      <c r="J423" s="8">
        <v>353</v>
      </c>
      <c r="K423" s="8">
        <v>286</v>
      </c>
      <c r="L423" s="8">
        <v>3526.65</v>
      </c>
      <c r="M423" s="8">
        <v>1.6</v>
      </c>
      <c r="N423" s="8">
        <v>4.4000000000000004</v>
      </c>
      <c r="O423" s="8">
        <v>1607.91</v>
      </c>
      <c r="P423" s="8">
        <v>1</v>
      </c>
      <c r="Q423" s="8" t="s">
        <v>1087</v>
      </c>
    </row>
    <row r="424" spans="1:17" x14ac:dyDescent="0.45">
      <c r="A424" s="8">
        <v>50.7</v>
      </c>
      <c r="B424" s="8">
        <v>65527.47</v>
      </c>
      <c r="C424" s="8">
        <v>633</v>
      </c>
      <c r="D424" s="8">
        <v>1</v>
      </c>
      <c r="E424" s="8">
        <v>0</v>
      </c>
      <c r="F424" s="8">
        <v>281</v>
      </c>
      <c r="G424" s="8">
        <v>2058.96</v>
      </c>
      <c r="H424" s="8">
        <v>8838.19</v>
      </c>
      <c r="I424" s="8">
        <v>54969.22</v>
      </c>
      <c r="J424" s="8">
        <v>121</v>
      </c>
      <c r="K424" s="8">
        <v>281</v>
      </c>
      <c r="L424" s="8">
        <v>8218.2800000000007</v>
      </c>
      <c r="M424" s="8">
        <v>4</v>
      </c>
      <c r="N424" s="8">
        <v>9</v>
      </c>
      <c r="O424" s="8">
        <v>1372.93</v>
      </c>
      <c r="P424" s="8">
        <v>1</v>
      </c>
      <c r="Q424" s="8" t="s">
        <v>1087</v>
      </c>
    </row>
    <row r="425" spans="1:17" x14ac:dyDescent="0.45">
      <c r="A425" s="8">
        <v>73.2</v>
      </c>
      <c r="B425" s="8">
        <v>52443.74</v>
      </c>
      <c r="C425" s="8">
        <v>694</v>
      </c>
      <c r="D425" s="8">
        <v>1</v>
      </c>
      <c r="E425" s="8">
        <v>0</v>
      </c>
      <c r="F425" s="8">
        <v>178</v>
      </c>
      <c r="G425" s="8">
        <v>2088.42</v>
      </c>
      <c r="H425" s="8">
        <v>26087.38</v>
      </c>
      <c r="I425" s="8">
        <v>35214.83</v>
      </c>
      <c r="J425" s="8">
        <v>282</v>
      </c>
      <c r="K425" s="8">
        <v>178</v>
      </c>
      <c r="L425" s="8">
        <v>818.69</v>
      </c>
      <c r="M425" s="8">
        <v>4.7</v>
      </c>
      <c r="N425" s="8">
        <v>8.9</v>
      </c>
      <c r="O425" s="8">
        <v>1517</v>
      </c>
      <c r="P425" s="8">
        <v>1</v>
      </c>
      <c r="Q425" s="8" t="s">
        <v>1087</v>
      </c>
    </row>
    <row r="426" spans="1:17" x14ac:dyDescent="0.45">
      <c r="A426" s="8">
        <v>64.3</v>
      </c>
      <c r="B426" s="8">
        <v>94309.11</v>
      </c>
      <c r="C426" s="8">
        <v>733</v>
      </c>
      <c r="D426" s="8">
        <v>0</v>
      </c>
      <c r="E426" s="8">
        <v>1</v>
      </c>
      <c r="F426" s="8">
        <v>170</v>
      </c>
      <c r="G426" s="8">
        <v>2089.71</v>
      </c>
      <c r="H426" s="8">
        <v>18290.810000000001</v>
      </c>
      <c r="I426" s="8">
        <v>73409.61</v>
      </c>
      <c r="J426" s="8">
        <v>4975</v>
      </c>
      <c r="K426" s="8">
        <v>170</v>
      </c>
      <c r="L426" s="8">
        <v>8387.11</v>
      </c>
      <c r="M426" s="8">
        <v>5.5</v>
      </c>
      <c r="N426" s="8">
        <v>3.9</v>
      </c>
      <c r="O426" s="8">
        <v>2000.93</v>
      </c>
      <c r="P426" s="8">
        <v>1</v>
      </c>
      <c r="Q426" s="8" t="s">
        <v>1087</v>
      </c>
    </row>
    <row r="427" spans="1:17" x14ac:dyDescent="0.45">
      <c r="A427" s="8">
        <v>34.1</v>
      </c>
      <c r="B427" s="8">
        <v>78749.52</v>
      </c>
      <c r="C427" s="8">
        <v>696</v>
      </c>
      <c r="D427" s="8">
        <v>1</v>
      </c>
      <c r="E427" s="8">
        <v>0</v>
      </c>
      <c r="F427" s="8">
        <v>278</v>
      </c>
      <c r="G427" s="8">
        <v>2103.79</v>
      </c>
      <c r="H427" s="8">
        <v>8579.75</v>
      </c>
      <c r="I427" s="8">
        <v>52859.42</v>
      </c>
      <c r="J427" s="8">
        <v>2662</v>
      </c>
      <c r="K427" s="8">
        <v>278</v>
      </c>
      <c r="L427" s="8">
        <v>2832.16</v>
      </c>
      <c r="M427" s="8">
        <v>2</v>
      </c>
      <c r="N427" s="8">
        <v>6</v>
      </c>
      <c r="O427" s="8">
        <v>1888.64</v>
      </c>
      <c r="P427" s="8">
        <v>1</v>
      </c>
      <c r="Q427" s="8" t="s">
        <v>1087</v>
      </c>
    </row>
    <row r="428" spans="1:17" x14ac:dyDescent="0.45">
      <c r="A428" s="8">
        <v>33.799999999999997</v>
      </c>
      <c r="B428" s="8">
        <v>85910.05</v>
      </c>
      <c r="C428" s="8">
        <v>554</v>
      </c>
      <c r="D428" s="8">
        <v>0</v>
      </c>
      <c r="E428" s="8">
        <v>0</v>
      </c>
      <c r="F428" s="8">
        <v>145</v>
      </c>
      <c r="G428" s="8">
        <v>2115.29</v>
      </c>
      <c r="H428" s="8">
        <v>35149.910000000003</v>
      </c>
      <c r="I428" s="8">
        <v>49034.25</v>
      </c>
      <c r="J428" s="8">
        <v>2847</v>
      </c>
      <c r="K428" s="8">
        <v>145</v>
      </c>
      <c r="L428" s="8">
        <v>190.42</v>
      </c>
      <c r="M428" s="8">
        <v>3</v>
      </c>
      <c r="N428" s="8">
        <v>3.5</v>
      </c>
      <c r="O428" s="8">
        <v>1462.51</v>
      </c>
      <c r="P428" s="8">
        <v>1</v>
      </c>
      <c r="Q428" s="8" t="s">
        <v>1087</v>
      </c>
    </row>
    <row r="429" spans="1:17" x14ac:dyDescent="0.45">
      <c r="A429" s="8">
        <v>57.7</v>
      </c>
      <c r="B429" s="8">
        <v>73179.05</v>
      </c>
      <c r="C429" s="8">
        <v>809</v>
      </c>
      <c r="D429" s="8">
        <v>1</v>
      </c>
      <c r="E429" s="8">
        <v>0</v>
      </c>
      <c r="F429" s="8">
        <v>214</v>
      </c>
      <c r="G429" s="8">
        <v>2212.9</v>
      </c>
      <c r="H429" s="8">
        <v>36545.24</v>
      </c>
      <c r="I429" s="8">
        <v>63894.720000000001</v>
      </c>
      <c r="J429" s="8">
        <v>4854</v>
      </c>
      <c r="K429" s="8">
        <v>214</v>
      </c>
      <c r="L429" s="8">
        <v>562.94000000000005</v>
      </c>
      <c r="M429" s="8">
        <v>5.2</v>
      </c>
      <c r="N429" s="8">
        <v>4.2</v>
      </c>
      <c r="O429" s="8">
        <v>2175.34</v>
      </c>
      <c r="P429" s="8">
        <v>1</v>
      </c>
      <c r="Q429" s="8" t="s">
        <v>1087</v>
      </c>
    </row>
    <row r="430" spans="1:17" x14ac:dyDescent="0.45">
      <c r="A430" s="8">
        <v>31.5</v>
      </c>
      <c r="B430" s="8">
        <v>59120.65</v>
      </c>
      <c r="C430" s="8">
        <v>742</v>
      </c>
      <c r="D430" s="8">
        <v>0</v>
      </c>
      <c r="E430" s="8">
        <v>0</v>
      </c>
      <c r="F430" s="8">
        <v>271</v>
      </c>
      <c r="G430" s="8">
        <v>2238.16</v>
      </c>
      <c r="H430" s="8">
        <v>2039.89</v>
      </c>
      <c r="I430" s="8">
        <v>33823.589999999997</v>
      </c>
      <c r="J430" s="8">
        <v>32</v>
      </c>
      <c r="K430" s="8">
        <v>271</v>
      </c>
      <c r="L430" s="8">
        <v>9825.9599999999991</v>
      </c>
      <c r="M430" s="8">
        <v>0.5</v>
      </c>
      <c r="N430" s="8">
        <v>8.4</v>
      </c>
      <c r="O430" s="8">
        <v>2126.09</v>
      </c>
      <c r="P430" s="8">
        <v>1</v>
      </c>
      <c r="Q430" s="8" t="s">
        <v>1087</v>
      </c>
    </row>
    <row r="431" spans="1:17" x14ac:dyDescent="0.45">
      <c r="A431" s="8">
        <v>62.3</v>
      </c>
      <c r="B431" s="8">
        <v>92497.56</v>
      </c>
      <c r="C431" s="8">
        <v>658</v>
      </c>
      <c r="D431" s="8">
        <v>0</v>
      </c>
      <c r="E431" s="8">
        <v>0</v>
      </c>
      <c r="F431" s="8">
        <v>280</v>
      </c>
      <c r="G431" s="8">
        <v>2466</v>
      </c>
      <c r="H431" s="8">
        <v>22310.13</v>
      </c>
      <c r="I431" s="8">
        <v>56637.120000000003</v>
      </c>
      <c r="J431" s="8">
        <v>919</v>
      </c>
      <c r="K431" s="8">
        <v>280</v>
      </c>
      <c r="L431" s="8">
        <v>8500.8799999999992</v>
      </c>
      <c r="M431" s="8">
        <v>7.6</v>
      </c>
      <c r="N431" s="8">
        <v>6.5</v>
      </c>
      <c r="O431" s="8">
        <v>1233.23</v>
      </c>
      <c r="P431" s="8">
        <v>1</v>
      </c>
      <c r="Q431" s="8" t="s">
        <v>1087</v>
      </c>
    </row>
    <row r="432" spans="1:17" x14ac:dyDescent="0.45">
      <c r="A432" s="8">
        <v>37.6</v>
      </c>
      <c r="B432" s="8">
        <v>50788.63</v>
      </c>
      <c r="C432" s="8">
        <v>588</v>
      </c>
      <c r="D432" s="8">
        <v>0</v>
      </c>
      <c r="E432" s="8">
        <v>1</v>
      </c>
      <c r="F432" s="8">
        <v>277</v>
      </c>
      <c r="G432" s="8">
        <v>2470.9</v>
      </c>
      <c r="H432" s="8">
        <v>22277.09</v>
      </c>
      <c r="I432" s="8">
        <v>15762.76</v>
      </c>
      <c r="J432" s="8">
        <v>3078</v>
      </c>
      <c r="K432" s="8">
        <v>277</v>
      </c>
      <c r="L432" s="8">
        <v>6338.31</v>
      </c>
      <c r="M432" s="8">
        <v>6.1</v>
      </c>
      <c r="N432" s="8">
        <v>8.4</v>
      </c>
      <c r="O432" s="8">
        <v>1704.47</v>
      </c>
      <c r="P432" s="8">
        <v>1</v>
      </c>
      <c r="Q432" s="8" t="s">
        <v>1087</v>
      </c>
    </row>
    <row r="433" spans="1:17" x14ac:dyDescent="0.45">
      <c r="A433" s="8">
        <v>58.8</v>
      </c>
      <c r="B433" s="8">
        <v>82918.8</v>
      </c>
      <c r="C433" s="8">
        <v>737</v>
      </c>
      <c r="D433" s="8">
        <v>0</v>
      </c>
      <c r="E433" s="8">
        <v>1</v>
      </c>
      <c r="F433" s="8">
        <v>49</v>
      </c>
      <c r="G433" s="8">
        <v>2478.66</v>
      </c>
      <c r="H433" s="8">
        <v>22199.59</v>
      </c>
      <c r="I433" s="8">
        <v>73184.91</v>
      </c>
      <c r="J433" s="8">
        <v>1323</v>
      </c>
      <c r="K433" s="8">
        <v>49</v>
      </c>
      <c r="L433" s="8">
        <v>1294.95</v>
      </c>
      <c r="M433" s="8">
        <v>4</v>
      </c>
      <c r="N433" s="8">
        <v>3.5</v>
      </c>
      <c r="O433" s="8">
        <v>1873.91</v>
      </c>
      <c r="P433" s="8">
        <v>1</v>
      </c>
      <c r="Q433" s="8" t="s">
        <v>1087</v>
      </c>
    </row>
    <row r="434" spans="1:17" x14ac:dyDescent="0.45">
      <c r="A434" s="8">
        <v>76.5</v>
      </c>
      <c r="B434" s="8">
        <v>106416.61</v>
      </c>
      <c r="C434" s="8">
        <v>512</v>
      </c>
      <c r="D434" s="8">
        <v>1</v>
      </c>
      <c r="E434" s="8">
        <v>0</v>
      </c>
      <c r="F434" s="8">
        <v>235</v>
      </c>
      <c r="G434" s="8">
        <v>2501.15</v>
      </c>
      <c r="H434" s="8">
        <v>11119.94</v>
      </c>
      <c r="I434" s="8">
        <v>73457.22</v>
      </c>
      <c r="J434" s="8">
        <v>1184</v>
      </c>
      <c r="K434" s="8">
        <v>235</v>
      </c>
      <c r="L434" s="8">
        <v>6112.49</v>
      </c>
      <c r="M434" s="8">
        <v>4.8</v>
      </c>
      <c r="N434" s="8">
        <v>0.5</v>
      </c>
      <c r="O434" s="8">
        <v>1837.5</v>
      </c>
      <c r="P434" s="8">
        <v>1</v>
      </c>
      <c r="Q434" s="8" t="s">
        <v>1087</v>
      </c>
    </row>
    <row r="435" spans="1:17" x14ac:dyDescent="0.45">
      <c r="A435" s="8">
        <v>51.3</v>
      </c>
      <c r="B435" s="8">
        <v>90041.45</v>
      </c>
      <c r="C435" s="8">
        <v>584</v>
      </c>
      <c r="D435" s="8">
        <v>0</v>
      </c>
      <c r="E435" s="8">
        <v>1</v>
      </c>
      <c r="F435" s="8">
        <v>164</v>
      </c>
      <c r="G435" s="8">
        <v>2532.1799999999998</v>
      </c>
      <c r="H435" s="8">
        <v>5143.6400000000003</v>
      </c>
      <c r="I435" s="8">
        <v>58902.12</v>
      </c>
      <c r="J435" s="8">
        <v>2352</v>
      </c>
      <c r="K435" s="8">
        <v>164</v>
      </c>
      <c r="L435" s="8">
        <v>345.12</v>
      </c>
      <c r="M435" s="8">
        <v>3.7</v>
      </c>
      <c r="N435" s="8">
        <v>7</v>
      </c>
      <c r="O435" s="8">
        <v>1667.53</v>
      </c>
      <c r="P435" s="8">
        <v>1</v>
      </c>
      <c r="Q435" s="8" t="s">
        <v>1087</v>
      </c>
    </row>
    <row r="436" spans="1:17" x14ac:dyDescent="0.45">
      <c r="A436" s="8">
        <v>38.1</v>
      </c>
      <c r="B436" s="8">
        <v>96595.76</v>
      </c>
      <c r="C436" s="8">
        <v>639</v>
      </c>
      <c r="D436" s="8">
        <v>1</v>
      </c>
      <c r="E436" s="8">
        <v>0</v>
      </c>
      <c r="F436" s="8">
        <v>134</v>
      </c>
      <c r="G436" s="8">
        <v>2545.91</v>
      </c>
      <c r="H436" s="8">
        <v>16978.39</v>
      </c>
      <c r="I436" s="8">
        <v>60449.32</v>
      </c>
      <c r="J436" s="8">
        <v>90</v>
      </c>
      <c r="K436" s="8">
        <v>134</v>
      </c>
      <c r="L436" s="8">
        <v>1837.52</v>
      </c>
      <c r="M436" s="8">
        <v>5.7</v>
      </c>
      <c r="N436" s="8">
        <v>4.3</v>
      </c>
      <c r="O436" s="8">
        <v>1860.85</v>
      </c>
      <c r="P436" s="8">
        <v>1</v>
      </c>
      <c r="Q436" s="8" t="s">
        <v>1087</v>
      </c>
    </row>
    <row r="437" spans="1:17" x14ac:dyDescent="0.45">
      <c r="A437" s="8">
        <v>79.5</v>
      </c>
      <c r="B437" s="8">
        <v>50184.78</v>
      </c>
      <c r="C437" s="8">
        <v>573</v>
      </c>
      <c r="D437" s="8">
        <v>0</v>
      </c>
      <c r="E437" s="8">
        <v>1</v>
      </c>
      <c r="F437" s="8">
        <v>204</v>
      </c>
      <c r="G437" s="8">
        <v>2546.73</v>
      </c>
      <c r="H437" s="8">
        <v>9945.39</v>
      </c>
      <c r="I437" s="8">
        <v>16933.14</v>
      </c>
      <c r="J437" s="8">
        <v>3797</v>
      </c>
      <c r="K437" s="8">
        <v>204</v>
      </c>
      <c r="L437" s="8">
        <v>5309.43</v>
      </c>
      <c r="M437" s="8">
        <v>5.2</v>
      </c>
      <c r="N437" s="8">
        <v>10.1</v>
      </c>
      <c r="O437" s="8">
        <v>1586.6</v>
      </c>
      <c r="P437" s="8">
        <v>1</v>
      </c>
      <c r="Q437" s="8" t="s">
        <v>1087</v>
      </c>
    </row>
    <row r="438" spans="1:17" x14ac:dyDescent="0.45">
      <c r="A438" s="8">
        <v>62.2</v>
      </c>
      <c r="B438" s="8">
        <v>70699.67</v>
      </c>
      <c r="C438" s="8">
        <v>499</v>
      </c>
      <c r="D438" s="8">
        <v>0</v>
      </c>
      <c r="E438" s="8">
        <v>0</v>
      </c>
      <c r="F438" s="8">
        <v>247</v>
      </c>
      <c r="G438" s="8">
        <v>2565.19</v>
      </c>
      <c r="H438" s="8">
        <v>30592.880000000001</v>
      </c>
      <c r="I438" s="8">
        <v>60382.96</v>
      </c>
      <c r="J438" s="8">
        <v>1262</v>
      </c>
      <c r="K438" s="8">
        <v>247</v>
      </c>
      <c r="L438" s="8">
        <v>8889.5400000000009</v>
      </c>
      <c r="M438" s="8">
        <v>7.6</v>
      </c>
      <c r="N438" s="8">
        <v>4.8</v>
      </c>
      <c r="O438" s="8">
        <v>1714.07</v>
      </c>
      <c r="P438" s="8">
        <v>1</v>
      </c>
      <c r="Q438" s="8" t="s">
        <v>1087</v>
      </c>
    </row>
    <row r="439" spans="1:17" x14ac:dyDescent="0.45">
      <c r="A439" s="8">
        <v>31.7</v>
      </c>
      <c r="B439" s="8">
        <v>60661.11</v>
      </c>
      <c r="C439" s="8">
        <v>754</v>
      </c>
      <c r="D439" s="8">
        <v>0</v>
      </c>
      <c r="E439" s="8">
        <v>1</v>
      </c>
      <c r="F439" s="8">
        <v>221</v>
      </c>
      <c r="G439" s="8">
        <v>2632.59</v>
      </c>
      <c r="H439" s="8">
        <v>13127.74</v>
      </c>
      <c r="I439" s="8">
        <v>50558.19</v>
      </c>
      <c r="J439" s="8">
        <v>822</v>
      </c>
      <c r="K439" s="8">
        <v>221</v>
      </c>
      <c r="L439" s="8">
        <v>7264.63</v>
      </c>
      <c r="M439" s="8">
        <v>3.9</v>
      </c>
      <c r="N439" s="8">
        <v>6.6</v>
      </c>
      <c r="O439" s="8">
        <v>1793.36</v>
      </c>
      <c r="P439" s="8">
        <v>1</v>
      </c>
      <c r="Q439" s="8" t="s">
        <v>1087</v>
      </c>
    </row>
    <row r="440" spans="1:17" x14ac:dyDescent="0.45">
      <c r="A440" s="8">
        <v>30.2</v>
      </c>
      <c r="B440" s="8">
        <v>56633.36</v>
      </c>
      <c r="C440" s="8">
        <v>597</v>
      </c>
      <c r="D440" s="8">
        <v>0</v>
      </c>
      <c r="E440" s="8">
        <v>1</v>
      </c>
      <c r="F440" s="8">
        <v>80</v>
      </c>
      <c r="G440" s="8">
        <v>2638.11</v>
      </c>
      <c r="H440" s="8">
        <v>6586.78</v>
      </c>
      <c r="I440" s="8">
        <v>40529.08</v>
      </c>
      <c r="J440" s="8">
        <v>2368</v>
      </c>
      <c r="K440" s="8">
        <v>80</v>
      </c>
      <c r="L440" s="8">
        <v>2992.49</v>
      </c>
      <c r="M440" s="8">
        <v>3.6</v>
      </c>
      <c r="N440" s="8">
        <v>8.5</v>
      </c>
      <c r="O440" s="8">
        <v>2154.06</v>
      </c>
      <c r="P440" s="8">
        <v>1</v>
      </c>
      <c r="Q440" s="8" t="s">
        <v>1087</v>
      </c>
    </row>
    <row r="441" spans="1:17" x14ac:dyDescent="0.45">
      <c r="A441" s="8">
        <v>64.599999999999994</v>
      </c>
      <c r="B441" s="8">
        <v>93481.77</v>
      </c>
      <c r="C441" s="8">
        <v>635</v>
      </c>
      <c r="D441" s="8">
        <v>0</v>
      </c>
      <c r="E441" s="8">
        <v>0</v>
      </c>
      <c r="F441" s="8">
        <v>280</v>
      </c>
      <c r="G441" s="8">
        <v>2663.88</v>
      </c>
      <c r="H441" s="8">
        <v>16179.56</v>
      </c>
      <c r="I441" s="8">
        <v>53136.15</v>
      </c>
      <c r="J441" s="8">
        <v>3377</v>
      </c>
      <c r="K441" s="8">
        <v>280</v>
      </c>
      <c r="L441" s="8">
        <v>4997.4399999999996</v>
      </c>
      <c r="M441" s="8">
        <v>3.8</v>
      </c>
      <c r="N441" s="8">
        <v>3.8</v>
      </c>
      <c r="O441" s="8">
        <v>1762.99</v>
      </c>
      <c r="P441" s="8">
        <v>1</v>
      </c>
      <c r="Q441" s="8" t="s">
        <v>1087</v>
      </c>
    </row>
    <row r="442" spans="1:17" x14ac:dyDescent="0.45">
      <c r="A442" s="8">
        <v>51.5</v>
      </c>
      <c r="B442" s="8">
        <v>53989.4</v>
      </c>
      <c r="C442" s="8">
        <v>701</v>
      </c>
      <c r="D442" s="8">
        <v>0</v>
      </c>
      <c r="E442" s="8">
        <v>1</v>
      </c>
      <c r="F442" s="8">
        <v>276</v>
      </c>
      <c r="G442" s="8">
        <v>2720.11</v>
      </c>
      <c r="H442" s="8">
        <v>36211.78</v>
      </c>
      <c r="I442" s="8">
        <v>30976.49</v>
      </c>
      <c r="J442" s="8">
        <v>40</v>
      </c>
      <c r="K442" s="8">
        <v>276</v>
      </c>
      <c r="L442" s="8">
        <v>5602.96</v>
      </c>
      <c r="M442" s="8">
        <v>0.8</v>
      </c>
      <c r="N442" s="8">
        <v>7.1</v>
      </c>
      <c r="O442" s="8">
        <v>1569.99</v>
      </c>
      <c r="P442" s="8">
        <v>1</v>
      </c>
      <c r="Q442" s="8" t="s">
        <v>1087</v>
      </c>
    </row>
    <row r="443" spans="1:17" x14ac:dyDescent="0.45">
      <c r="A443" s="8">
        <v>33.799999999999997</v>
      </c>
      <c r="B443" s="8">
        <v>69678.86</v>
      </c>
      <c r="C443" s="8">
        <v>627</v>
      </c>
      <c r="D443" s="8">
        <v>0</v>
      </c>
      <c r="E443" s="8">
        <v>1</v>
      </c>
      <c r="F443" s="8">
        <v>31</v>
      </c>
      <c r="G443" s="8">
        <v>2800.59</v>
      </c>
      <c r="H443" s="8">
        <v>10463.549999999999</v>
      </c>
      <c r="I443" s="8">
        <v>56744.14</v>
      </c>
      <c r="J443" s="8">
        <v>969</v>
      </c>
      <c r="K443" s="8">
        <v>31</v>
      </c>
      <c r="L443" s="8">
        <v>8367.16</v>
      </c>
      <c r="M443" s="8">
        <v>2.7</v>
      </c>
      <c r="N443" s="8">
        <v>5.9</v>
      </c>
      <c r="O443" s="8">
        <v>1913.14</v>
      </c>
      <c r="P443" s="8">
        <v>1</v>
      </c>
      <c r="Q443" s="8" t="s">
        <v>1087</v>
      </c>
    </row>
    <row r="444" spans="1:17" x14ac:dyDescent="0.45">
      <c r="A444" s="8">
        <v>72.8</v>
      </c>
      <c r="B444" s="8">
        <v>86113.59</v>
      </c>
      <c r="C444" s="8">
        <v>690</v>
      </c>
      <c r="D444" s="8">
        <v>0</v>
      </c>
      <c r="E444" s="8">
        <v>1</v>
      </c>
      <c r="F444" s="8">
        <v>169</v>
      </c>
      <c r="G444" s="8">
        <v>2872.55</v>
      </c>
      <c r="H444" s="8">
        <v>16218.33</v>
      </c>
      <c r="I444" s="8">
        <v>51730.7</v>
      </c>
      <c r="J444" s="8">
        <v>1747</v>
      </c>
      <c r="K444" s="8">
        <v>169</v>
      </c>
      <c r="L444" s="8">
        <v>7940.99</v>
      </c>
      <c r="M444" s="8">
        <v>8.6999999999999993</v>
      </c>
      <c r="N444" s="8">
        <v>5.5</v>
      </c>
      <c r="O444" s="8">
        <v>1731.1</v>
      </c>
      <c r="P444" s="8">
        <v>1</v>
      </c>
      <c r="Q444" s="8" t="s">
        <v>1087</v>
      </c>
    </row>
    <row r="445" spans="1:17" x14ac:dyDescent="0.45">
      <c r="A445" s="8">
        <v>35.5</v>
      </c>
      <c r="B445" s="8">
        <v>81835.16</v>
      </c>
      <c r="C445" s="8">
        <v>555</v>
      </c>
      <c r="D445" s="8">
        <v>0</v>
      </c>
      <c r="E445" s="8">
        <v>1</v>
      </c>
      <c r="F445" s="8">
        <v>289</v>
      </c>
      <c r="G445" s="8">
        <v>2964.2</v>
      </c>
      <c r="H445" s="8">
        <v>14384.68</v>
      </c>
      <c r="I445" s="8">
        <v>53586.65</v>
      </c>
      <c r="J445" s="8">
        <v>2880</v>
      </c>
      <c r="K445" s="8">
        <v>289</v>
      </c>
      <c r="L445" s="8">
        <v>7061.77</v>
      </c>
      <c r="M445" s="8">
        <v>4.2</v>
      </c>
      <c r="N445" s="8">
        <v>4.0999999999999996</v>
      </c>
      <c r="O445" s="8">
        <v>2404.9</v>
      </c>
      <c r="P445" s="8">
        <v>1</v>
      </c>
      <c r="Q445" s="8" t="s">
        <v>1087</v>
      </c>
    </row>
    <row r="446" spans="1:17" x14ac:dyDescent="0.45">
      <c r="A446" s="8">
        <v>59.2</v>
      </c>
      <c r="B446" s="8">
        <v>61633.37</v>
      </c>
      <c r="C446" s="8">
        <v>721</v>
      </c>
      <c r="D446" s="8">
        <v>0</v>
      </c>
      <c r="E446" s="8">
        <v>1</v>
      </c>
      <c r="F446" s="8">
        <v>223</v>
      </c>
      <c r="G446" s="8">
        <v>2991.01</v>
      </c>
      <c r="H446" s="8">
        <v>4634.05</v>
      </c>
      <c r="I446" s="8">
        <v>54666.95</v>
      </c>
      <c r="J446" s="8">
        <v>2683</v>
      </c>
      <c r="K446" s="8">
        <v>223</v>
      </c>
      <c r="L446" s="8">
        <v>959.45</v>
      </c>
      <c r="M446" s="8">
        <v>6</v>
      </c>
      <c r="N446" s="8">
        <v>7.9</v>
      </c>
      <c r="O446" s="8">
        <v>2464.1</v>
      </c>
      <c r="P446" s="8">
        <v>1</v>
      </c>
      <c r="Q446" s="8" t="s">
        <v>1087</v>
      </c>
    </row>
    <row r="447" spans="1:17" x14ac:dyDescent="0.45">
      <c r="A447" s="8">
        <v>62.2</v>
      </c>
      <c r="B447" s="8">
        <v>122725.4</v>
      </c>
      <c r="C447" s="8">
        <v>617</v>
      </c>
      <c r="D447" s="8">
        <v>0</v>
      </c>
      <c r="E447" s="8">
        <v>1</v>
      </c>
      <c r="F447" s="8">
        <v>170</v>
      </c>
      <c r="G447" s="8">
        <v>2999.57</v>
      </c>
      <c r="H447" s="8">
        <v>5407.95</v>
      </c>
      <c r="I447" s="8">
        <v>87213.17</v>
      </c>
      <c r="J447" s="8">
        <v>252</v>
      </c>
      <c r="K447" s="8">
        <v>170</v>
      </c>
      <c r="L447" s="8">
        <v>8668.25</v>
      </c>
      <c r="M447" s="8">
        <v>5.0999999999999996</v>
      </c>
      <c r="N447" s="8">
        <v>7.6</v>
      </c>
      <c r="O447" s="8">
        <v>2613.98</v>
      </c>
      <c r="P447" s="8">
        <v>1</v>
      </c>
      <c r="Q447" s="8" t="s">
        <v>1087</v>
      </c>
    </row>
    <row r="448" spans="1:17" x14ac:dyDescent="0.45">
      <c r="A448" s="8">
        <v>55.8</v>
      </c>
      <c r="B448" s="8">
        <v>89102.01</v>
      </c>
      <c r="C448" s="8">
        <v>738</v>
      </c>
      <c r="D448" s="8">
        <v>0</v>
      </c>
      <c r="E448" s="8">
        <v>0</v>
      </c>
      <c r="F448" s="8">
        <v>80</v>
      </c>
      <c r="G448" s="8">
        <v>3034.47</v>
      </c>
      <c r="H448" s="8">
        <v>27118.58</v>
      </c>
      <c r="I448" s="8">
        <v>59888.08</v>
      </c>
      <c r="J448" s="8">
        <v>3058</v>
      </c>
      <c r="K448" s="8">
        <v>80</v>
      </c>
      <c r="L448" s="8">
        <v>108.37</v>
      </c>
      <c r="M448" s="8">
        <v>5.3</v>
      </c>
      <c r="N448" s="8">
        <v>2.6</v>
      </c>
      <c r="O448" s="8">
        <v>1706.14</v>
      </c>
      <c r="P448" s="8">
        <v>1</v>
      </c>
      <c r="Q448" s="8" t="s">
        <v>1087</v>
      </c>
    </row>
    <row r="449" spans="1:17" x14ac:dyDescent="0.45">
      <c r="A449" s="8">
        <v>49.7</v>
      </c>
      <c r="B449" s="8">
        <v>98340.87</v>
      </c>
      <c r="C449" s="8">
        <v>651</v>
      </c>
      <c r="D449" s="8">
        <v>0</v>
      </c>
      <c r="E449" s="8">
        <v>1</v>
      </c>
      <c r="F449" s="8">
        <v>132</v>
      </c>
      <c r="G449" s="8">
        <v>3057.19</v>
      </c>
      <c r="H449" s="8">
        <v>24418.37</v>
      </c>
      <c r="I449" s="8">
        <v>62117.89</v>
      </c>
      <c r="J449" s="8">
        <v>3950</v>
      </c>
      <c r="K449" s="8">
        <v>132</v>
      </c>
      <c r="L449" s="8">
        <v>7540.27</v>
      </c>
      <c r="M449" s="8">
        <v>3.6</v>
      </c>
      <c r="N449" s="8">
        <v>1.7</v>
      </c>
      <c r="O449" s="8">
        <v>2618.8200000000002</v>
      </c>
      <c r="P449" s="8">
        <v>1</v>
      </c>
      <c r="Q449" s="8" t="s">
        <v>1087</v>
      </c>
    </row>
    <row r="450" spans="1:17" x14ac:dyDescent="0.45">
      <c r="A450" s="8">
        <v>45.2</v>
      </c>
      <c r="B450" s="8">
        <v>69462.960000000006</v>
      </c>
      <c r="C450" s="8">
        <v>711</v>
      </c>
      <c r="D450" s="8">
        <v>1</v>
      </c>
      <c r="E450" s="8">
        <v>1</v>
      </c>
      <c r="F450" s="8">
        <v>187</v>
      </c>
      <c r="G450" s="8">
        <v>3090.33</v>
      </c>
      <c r="H450" s="8">
        <v>22948.1</v>
      </c>
      <c r="I450" s="8">
        <v>47049.16</v>
      </c>
      <c r="J450" s="8">
        <v>3500</v>
      </c>
      <c r="K450" s="8">
        <v>187</v>
      </c>
      <c r="L450" s="8">
        <v>9819.23</v>
      </c>
      <c r="M450" s="8">
        <v>3.1</v>
      </c>
      <c r="N450" s="8">
        <v>3</v>
      </c>
      <c r="O450" s="8">
        <v>2968.76</v>
      </c>
      <c r="P450" s="8">
        <v>1</v>
      </c>
      <c r="Q450" s="8" t="s">
        <v>1087</v>
      </c>
    </row>
    <row r="451" spans="1:17" x14ac:dyDescent="0.45">
      <c r="A451" s="8">
        <v>33.9</v>
      </c>
      <c r="B451" s="8">
        <v>30062.77</v>
      </c>
      <c r="C451" s="8">
        <v>790</v>
      </c>
      <c r="D451" s="8">
        <v>0</v>
      </c>
      <c r="E451" s="8">
        <v>1</v>
      </c>
      <c r="F451" s="8">
        <v>119</v>
      </c>
      <c r="G451" s="8">
        <v>3133.82</v>
      </c>
      <c r="H451" s="8">
        <v>47512.14</v>
      </c>
      <c r="I451" s="8">
        <v>15000</v>
      </c>
      <c r="J451" s="8">
        <v>1435</v>
      </c>
      <c r="K451" s="8">
        <v>119</v>
      </c>
      <c r="L451" s="8">
        <v>5069.5</v>
      </c>
      <c r="M451" s="8">
        <v>1.4</v>
      </c>
      <c r="N451" s="8">
        <v>5</v>
      </c>
      <c r="O451" s="8">
        <v>2013.25</v>
      </c>
      <c r="P451" s="8">
        <v>1</v>
      </c>
      <c r="Q451" s="8" t="s">
        <v>1087</v>
      </c>
    </row>
    <row r="452" spans="1:17" x14ac:dyDescent="0.45">
      <c r="A452" s="8">
        <v>41</v>
      </c>
      <c r="B452" s="8">
        <v>81504.05</v>
      </c>
      <c r="C452" s="8">
        <v>686</v>
      </c>
      <c r="D452" s="8">
        <v>0</v>
      </c>
      <c r="E452" s="8">
        <v>0</v>
      </c>
      <c r="F452" s="8">
        <v>74</v>
      </c>
      <c r="G452" s="8">
        <v>3159.32</v>
      </c>
      <c r="H452" s="8">
        <v>45535.56</v>
      </c>
      <c r="I452" s="8">
        <v>64930.1</v>
      </c>
      <c r="J452" s="8">
        <v>2840</v>
      </c>
      <c r="K452" s="8">
        <v>74</v>
      </c>
      <c r="L452" s="8">
        <v>7592.37</v>
      </c>
      <c r="M452" s="8">
        <v>3.8</v>
      </c>
      <c r="N452" s="8">
        <v>0.5</v>
      </c>
      <c r="O452" s="8">
        <v>2597.85</v>
      </c>
      <c r="P452" s="8">
        <v>1</v>
      </c>
      <c r="Q452" s="8" t="s">
        <v>1087</v>
      </c>
    </row>
    <row r="453" spans="1:17" x14ac:dyDescent="0.45">
      <c r="A453" s="8">
        <v>28.8</v>
      </c>
      <c r="B453" s="8">
        <v>100819.14</v>
      </c>
      <c r="C453" s="8">
        <v>518</v>
      </c>
      <c r="D453" s="8">
        <v>0</v>
      </c>
      <c r="E453" s="8">
        <v>1</v>
      </c>
      <c r="F453" s="8">
        <v>202</v>
      </c>
      <c r="G453" s="8">
        <v>3227.07</v>
      </c>
      <c r="H453" s="8">
        <v>2062.9899999999998</v>
      </c>
      <c r="I453" s="8">
        <v>79062.5</v>
      </c>
      <c r="J453" s="8">
        <v>2533</v>
      </c>
      <c r="K453" s="8">
        <v>202</v>
      </c>
      <c r="L453" s="8">
        <v>557.32000000000005</v>
      </c>
      <c r="M453" s="8">
        <v>7.3</v>
      </c>
      <c r="N453" s="8">
        <v>3.6</v>
      </c>
      <c r="O453" s="8">
        <v>2049.59</v>
      </c>
      <c r="P453" s="8">
        <v>1</v>
      </c>
      <c r="Q453" s="8" t="s">
        <v>1087</v>
      </c>
    </row>
    <row r="454" spans="1:17" x14ac:dyDescent="0.45">
      <c r="A454" s="8">
        <v>72.099999999999994</v>
      </c>
      <c r="B454" s="8">
        <v>96650.72</v>
      </c>
      <c r="C454" s="8">
        <v>665</v>
      </c>
      <c r="D454" s="8">
        <v>1</v>
      </c>
      <c r="E454" s="8">
        <v>0</v>
      </c>
      <c r="F454" s="8">
        <v>96</v>
      </c>
      <c r="G454" s="8">
        <v>3237.22</v>
      </c>
      <c r="H454" s="8">
        <v>33420.550000000003</v>
      </c>
      <c r="I454" s="8">
        <v>74615.28</v>
      </c>
      <c r="J454" s="8">
        <v>2461</v>
      </c>
      <c r="K454" s="8">
        <v>96</v>
      </c>
      <c r="L454" s="8">
        <v>4113.9799999999996</v>
      </c>
      <c r="M454" s="8">
        <v>3.9</v>
      </c>
      <c r="N454" s="8">
        <v>4.9000000000000004</v>
      </c>
      <c r="O454" s="8">
        <v>3232.4</v>
      </c>
      <c r="P454" s="8">
        <v>1</v>
      </c>
      <c r="Q454" s="8" t="s">
        <v>1087</v>
      </c>
    </row>
    <row r="455" spans="1:17" x14ac:dyDescent="0.45">
      <c r="A455" s="8">
        <v>37.6</v>
      </c>
      <c r="B455" s="8">
        <v>112145.56</v>
      </c>
      <c r="C455" s="8">
        <v>566</v>
      </c>
      <c r="D455" s="8">
        <v>1</v>
      </c>
      <c r="E455" s="8">
        <v>0</v>
      </c>
      <c r="F455" s="8">
        <v>77</v>
      </c>
      <c r="G455" s="8">
        <v>3241.74</v>
      </c>
      <c r="H455" s="8">
        <v>58017.19</v>
      </c>
      <c r="I455" s="8">
        <v>52833.2</v>
      </c>
      <c r="J455" s="8">
        <v>3253</v>
      </c>
      <c r="K455" s="8">
        <v>77</v>
      </c>
      <c r="L455" s="8">
        <v>2619.84</v>
      </c>
      <c r="M455" s="8">
        <v>2.4</v>
      </c>
      <c r="N455" s="8">
        <v>1.1000000000000001</v>
      </c>
      <c r="O455" s="8">
        <v>3167.78</v>
      </c>
      <c r="P455" s="8">
        <v>1</v>
      </c>
      <c r="Q455" s="8" t="s">
        <v>1087</v>
      </c>
    </row>
    <row r="456" spans="1:17" x14ac:dyDescent="0.45">
      <c r="A456" s="8">
        <v>70.3</v>
      </c>
      <c r="B456" s="8">
        <v>66702.23</v>
      </c>
      <c r="C456" s="8">
        <v>652</v>
      </c>
      <c r="D456" s="8">
        <v>1</v>
      </c>
      <c r="E456" s="8">
        <v>1</v>
      </c>
      <c r="F456" s="8">
        <v>203</v>
      </c>
      <c r="G456" s="8">
        <v>3246.03</v>
      </c>
      <c r="H456" s="8">
        <v>9988.5400000000009</v>
      </c>
      <c r="I456" s="8">
        <v>46448.71</v>
      </c>
      <c r="J456" s="8">
        <v>3564</v>
      </c>
      <c r="K456" s="8">
        <v>203</v>
      </c>
      <c r="L456" s="8">
        <v>5895.67</v>
      </c>
      <c r="M456" s="8">
        <v>4</v>
      </c>
      <c r="N456" s="8">
        <v>5</v>
      </c>
      <c r="O456" s="8">
        <v>2941.65</v>
      </c>
      <c r="P456" s="8">
        <v>1</v>
      </c>
      <c r="Q456" s="8" t="s">
        <v>1087</v>
      </c>
    </row>
    <row r="457" spans="1:17" x14ac:dyDescent="0.45">
      <c r="A457" s="8">
        <v>46.6</v>
      </c>
      <c r="B457" s="8">
        <v>131331.73000000001</v>
      </c>
      <c r="C457" s="8">
        <v>668</v>
      </c>
      <c r="D457" s="8">
        <v>0</v>
      </c>
      <c r="E457" s="8">
        <v>0</v>
      </c>
      <c r="F457" s="8">
        <v>227</v>
      </c>
      <c r="G457" s="8">
        <v>3270.73</v>
      </c>
      <c r="H457" s="8">
        <v>4671.84</v>
      </c>
      <c r="I457" s="8">
        <v>88454.96</v>
      </c>
      <c r="J457" s="8">
        <v>3838</v>
      </c>
      <c r="K457" s="8">
        <v>227</v>
      </c>
      <c r="L457" s="8">
        <v>2399.84</v>
      </c>
      <c r="M457" s="8">
        <v>2.6</v>
      </c>
      <c r="N457" s="8">
        <v>8.3000000000000007</v>
      </c>
      <c r="O457" s="8">
        <v>2657.5</v>
      </c>
      <c r="P457" s="8">
        <v>1</v>
      </c>
      <c r="Q457" s="8" t="s">
        <v>1087</v>
      </c>
    </row>
    <row r="458" spans="1:17" x14ac:dyDescent="0.45">
      <c r="A458" s="8">
        <v>37.799999999999997</v>
      </c>
      <c r="B458" s="8">
        <v>81634.28</v>
      </c>
      <c r="C458" s="8">
        <v>581</v>
      </c>
      <c r="D458" s="8">
        <v>1</v>
      </c>
      <c r="E458" s="8">
        <v>1</v>
      </c>
      <c r="F458" s="8">
        <v>227</v>
      </c>
      <c r="G458" s="8">
        <v>3331.33</v>
      </c>
      <c r="H458" s="8">
        <v>15907.52</v>
      </c>
      <c r="I458" s="8">
        <v>43614.84</v>
      </c>
      <c r="J458" s="8">
        <v>135</v>
      </c>
      <c r="K458" s="8">
        <v>227</v>
      </c>
      <c r="L458" s="8">
        <v>8559.67</v>
      </c>
      <c r="M458" s="8">
        <v>6.2</v>
      </c>
      <c r="N458" s="8">
        <v>6.9</v>
      </c>
      <c r="O458" s="8">
        <v>2676.49</v>
      </c>
      <c r="P458" s="8">
        <v>1</v>
      </c>
      <c r="Q458" s="8" t="s">
        <v>1087</v>
      </c>
    </row>
    <row r="459" spans="1:17" x14ac:dyDescent="0.45">
      <c r="A459" s="8">
        <v>36.1</v>
      </c>
      <c r="B459" s="8">
        <v>69191.460000000006</v>
      </c>
      <c r="C459" s="8">
        <v>685</v>
      </c>
      <c r="D459" s="8">
        <v>0</v>
      </c>
      <c r="E459" s="8">
        <v>0</v>
      </c>
      <c r="F459" s="8">
        <v>21</v>
      </c>
      <c r="G459" s="8">
        <v>3370.75</v>
      </c>
      <c r="H459" s="8">
        <v>22105.279999999999</v>
      </c>
      <c r="I459" s="8">
        <v>55535.95</v>
      </c>
      <c r="J459" s="8">
        <v>3684</v>
      </c>
      <c r="K459" s="8">
        <v>21</v>
      </c>
      <c r="L459" s="8">
        <v>7321.41</v>
      </c>
      <c r="M459" s="8">
        <v>3.9</v>
      </c>
      <c r="N459" s="8">
        <v>5.6</v>
      </c>
      <c r="O459" s="8">
        <v>2001.57</v>
      </c>
      <c r="P459" s="8">
        <v>1</v>
      </c>
      <c r="Q459" s="8" t="s">
        <v>1087</v>
      </c>
    </row>
    <row r="460" spans="1:17" x14ac:dyDescent="0.45">
      <c r="A460" s="8">
        <v>41.6</v>
      </c>
      <c r="B460" s="8">
        <v>85130.559999999998</v>
      </c>
      <c r="C460" s="8">
        <v>673</v>
      </c>
      <c r="D460" s="8">
        <v>0</v>
      </c>
      <c r="E460" s="8">
        <v>1</v>
      </c>
      <c r="F460" s="8">
        <v>250</v>
      </c>
      <c r="G460" s="8">
        <v>3385.16</v>
      </c>
      <c r="H460" s="8">
        <v>17667.95</v>
      </c>
      <c r="I460" s="8">
        <v>54090.39</v>
      </c>
      <c r="J460" s="8">
        <v>2986</v>
      </c>
      <c r="K460" s="8">
        <v>250</v>
      </c>
      <c r="L460" s="8">
        <v>9743.75</v>
      </c>
      <c r="M460" s="8">
        <v>3.8</v>
      </c>
      <c r="N460" s="8">
        <v>7.2</v>
      </c>
      <c r="O460" s="8">
        <v>1847.2</v>
      </c>
      <c r="P460" s="8">
        <v>1</v>
      </c>
      <c r="Q460" s="8" t="s">
        <v>1087</v>
      </c>
    </row>
    <row r="461" spans="1:17" x14ac:dyDescent="0.45">
      <c r="A461" s="8">
        <v>41.8</v>
      </c>
      <c r="B461" s="8">
        <v>78292.45</v>
      </c>
      <c r="C461" s="8">
        <v>614</v>
      </c>
      <c r="D461" s="8">
        <v>0</v>
      </c>
      <c r="E461" s="8">
        <v>1</v>
      </c>
      <c r="F461" s="8">
        <v>283</v>
      </c>
      <c r="G461" s="8">
        <v>3439.05</v>
      </c>
      <c r="H461" s="8">
        <v>2655.68</v>
      </c>
      <c r="I461" s="8">
        <v>36121.5</v>
      </c>
      <c r="J461" s="8">
        <v>946</v>
      </c>
      <c r="K461" s="8">
        <v>283</v>
      </c>
      <c r="L461" s="8">
        <v>7792.26</v>
      </c>
      <c r="M461" s="8">
        <v>4.2</v>
      </c>
      <c r="N461" s="8">
        <v>0.5</v>
      </c>
      <c r="O461" s="8">
        <v>3090.26</v>
      </c>
      <c r="P461" s="8">
        <v>1</v>
      </c>
      <c r="Q461" s="8" t="s">
        <v>1087</v>
      </c>
    </row>
    <row r="462" spans="1:17" x14ac:dyDescent="0.45">
      <c r="A462" s="8">
        <v>51.2</v>
      </c>
      <c r="B462" s="8">
        <v>68757.03</v>
      </c>
      <c r="C462" s="8">
        <v>628</v>
      </c>
      <c r="D462" s="8">
        <v>1</v>
      </c>
      <c r="E462" s="8">
        <v>1</v>
      </c>
      <c r="F462" s="8">
        <v>261</v>
      </c>
      <c r="G462" s="8">
        <v>3507.4</v>
      </c>
      <c r="H462" s="8">
        <v>1412.45</v>
      </c>
      <c r="I462" s="8">
        <v>52804.63</v>
      </c>
      <c r="J462" s="8">
        <v>2616</v>
      </c>
      <c r="K462" s="8">
        <v>261</v>
      </c>
      <c r="L462" s="8">
        <v>8269.7999999999993</v>
      </c>
      <c r="M462" s="8">
        <v>4.5</v>
      </c>
      <c r="N462" s="8">
        <v>8.1</v>
      </c>
      <c r="O462" s="8">
        <v>2595.08</v>
      </c>
      <c r="P462" s="8">
        <v>1</v>
      </c>
      <c r="Q462" s="8" t="s">
        <v>1087</v>
      </c>
    </row>
    <row r="463" spans="1:17" x14ac:dyDescent="0.45">
      <c r="A463" s="8">
        <v>28.5</v>
      </c>
      <c r="B463" s="8">
        <v>90490.65</v>
      </c>
      <c r="C463" s="8">
        <v>519</v>
      </c>
      <c r="D463" s="8">
        <v>0</v>
      </c>
      <c r="E463" s="8">
        <v>1</v>
      </c>
      <c r="F463" s="8">
        <v>51</v>
      </c>
      <c r="G463" s="8">
        <v>3566.89</v>
      </c>
      <c r="H463" s="8">
        <v>115848.45</v>
      </c>
      <c r="I463" s="8">
        <v>47672.77</v>
      </c>
      <c r="J463" s="8">
        <v>1696</v>
      </c>
      <c r="K463" s="8">
        <v>51</v>
      </c>
      <c r="L463" s="8">
        <v>9826.9699999999993</v>
      </c>
      <c r="M463" s="8">
        <v>4.4000000000000004</v>
      </c>
      <c r="N463" s="8">
        <v>6.8</v>
      </c>
      <c r="O463" s="8">
        <v>2849.82</v>
      </c>
      <c r="P463" s="8">
        <v>1</v>
      </c>
      <c r="Q463" s="8" t="s">
        <v>1087</v>
      </c>
    </row>
    <row r="464" spans="1:17" x14ac:dyDescent="0.45">
      <c r="A464" s="8">
        <v>57.5</v>
      </c>
      <c r="B464" s="8">
        <v>90497.75</v>
      </c>
      <c r="C464" s="8">
        <v>662</v>
      </c>
      <c r="D464" s="8">
        <v>0</v>
      </c>
      <c r="E464" s="8">
        <v>1</v>
      </c>
      <c r="F464" s="8">
        <v>248</v>
      </c>
      <c r="G464" s="8">
        <v>3616.74</v>
      </c>
      <c r="H464" s="8">
        <v>25486.76</v>
      </c>
      <c r="I464" s="8">
        <v>67272.639999999999</v>
      </c>
      <c r="J464" s="8">
        <v>3033</v>
      </c>
      <c r="K464" s="8">
        <v>248</v>
      </c>
      <c r="L464" s="8">
        <v>2602.91</v>
      </c>
      <c r="M464" s="8">
        <v>5.9</v>
      </c>
      <c r="N464" s="8">
        <v>3.2</v>
      </c>
      <c r="O464" s="8">
        <v>3266.06</v>
      </c>
      <c r="P464" s="8">
        <v>1</v>
      </c>
      <c r="Q464" s="8" t="s">
        <v>1087</v>
      </c>
    </row>
    <row r="465" spans="1:17" x14ac:dyDescent="0.45">
      <c r="A465" s="8">
        <v>57.7</v>
      </c>
      <c r="B465" s="8">
        <v>59934.21</v>
      </c>
      <c r="C465" s="8">
        <v>677</v>
      </c>
      <c r="D465" s="8">
        <v>0</v>
      </c>
      <c r="E465" s="8">
        <v>0</v>
      </c>
      <c r="F465" s="8">
        <v>221</v>
      </c>
      <c r="G465" s="8">
        <v>3692.77</v>
      </c>
      <c r="H465" s="8">
        <v>14175.69</v>
      </c>
      <c r="I465" s="8">
        <v>43834.69</v>
      </c>
      <c r="J465" s="8">
        <v>4567</v>
      </c>
      <c r="K465" s="8">
        <v>221</v>
      </c>
      <c r="L465" s="8">
        <v>8511.5300000000007</v>
      </c>
      <c r="M465" s="8">
        <v>2</v>
      </c>
      <c r="N465" s="8">
        <v>9.4</v>
      </c>
      <c r="O465" s="8">
        <v>2375.9499999999998</v>
      </c>
      <c r="P465" s="8">
        <v>1</v>
      </c>
      <c r="Q465" s="8" t="s">
        <v>1087</v>
      </c>
    </row>
    <row r="466" spans="1:17" x14ac:dyDescent="0.45">
      <c r="A466" s="8">
        <v>71.599999999999994</v>
      </c>
      <c r="B466" s="8">
        <v>54929.19</v>
      </c>
      <c r="C466" s="8">
        <v>567</v>
      </c>
      <c r="D466" s="8">
        <v>0</v>
      </c>
      <c r="E466" s="8">
        <v>0</v>
      </c>
      <c r="F466" s="8">
        <v>116</v>
      </c>
      <c r="G466" s="8">
        <v>3751.83</v>
      </c>
      <c r="H466" s="8">
        <v>53688.74</v>
      </c>
      <c r="I466" s="8">
        <v>34796.699999999997</v>
      </c>
      <c r="J466" s="8">
        <v>3633</v>
      </c>
      <c r="K466" s="8">
        <v>116</v>
      </c>
      <c r="L466" s="8">
        <v>8966.08</v>
      </c>
      <c r="M466" s="8">
        <v>5.4</v>
      </c>
      <c r="N466" s="8">
        <v>5.0999999999999996</v>
      </c>
      <c r="O466" s="8">
        <v>3220.11</v>
      </c>
      <c r="P466" s="8">
        <v>1</v>
      </c>
      <c r="Q466" s="8" t="s">
        <v>1087</v>
      </c>
    </row>
    <row r="467" spans="1:17" x14ac:dyDescent="0.45">
      <c r="A467" s="8">
        <v>60.7</v>
      </c>
      <c r="B467" s="8">
        <v>105005</v>
      </c>
      <c r="C467" s="8">
        <v>705</v>
      </c>
      <c r="D467" s="8">
        <v>1</v>
      </c>
      <c r="E467" s="8">
        <v>1</v>
      </c>
      <c r="F467" s="8">
        <v>117</v>
      </c>
      <c r="G467" s="8">
        <v>3796.01</v>
      </c>
      <c r="H467" s="8">
        <v>8783.73</v>
      </c>
      <c r="I467" s="8">
        <v>78524.31</v>
      </c>
      <c r="J467" s="8">
        <v>171</v>
      </c>
      <c r="K467" s="8">
        <v>117</v>
      </c>
      <c r="L467" s="8">
        <v>4157.99</v>
      </c>
      <c r="M467" s="8">
        <v>4.3</v>
      </c>
      <c r="N467" s="8">
        <v>0.5</v>
      </c>
      <c r="O467" s="8">
        <v>2377.38</v>
      </c>
      <c r="P467" s="8">
        <v>1</v>
      </c>
      <c r="Q467" s="8" t="s">
        <v>1087</v>
      </c>
    </row>
    <row r="468" spans="1:17" x14ac:dyDescent="0.45">
      <c r="A468" s="8">
        <v>62.2</v>
      </c>
      <c r="B468" s="8">
        <v>100764.52</v>
      </c>
      <c r="C468" s="8">
        <v>635</v>
      </c>
      <c r="D468" s="8">
        <v>1</v>
      </c>
      <c r="E468" s="8">
        <v>0</v>
      </c>
      <c r="F468" s="8">
        <v>167</v>
      </c>
      <c r="G468" s="8">
        <v>3815.44</v>
      </c>
      <c r="H468" s="8">
        <v>10693.52</v>
      </c>
      <c r="I468" s="8">
        <v>82521.009999999995</v>
      </c>
      <c r="J468" s="8">
        <v>1407</v>
      </c>
      <c r="K468" s="8">
        <v>167</v>
      </c>
      <c r="L468" s="8">
        <v>5699.52</v>
      </c>
      <c r="M468" s="8">
        <v>4.5999999999999996</v>
      </c>
      <c r="N468" s="8">
        <v>5.3</v>
      </c>
      <c r="O468" s="8">
        <v>3636.32</v>
      </c>
      <c r="P468" s="8">
        <v>1</v>
      </c>
      <c r="Q468" s="8" t="s">
        <v>1087</v>
      </c>
    </row>
    <row r="469" spans="1:17" x14ac:dyDescent="0.45">
      <c r="A469" s="8">
        <v>47</v>
      </c>
      <c r="B469" s="8">
        <v>60719.07</v>
      </c>
      <c r="C469" s="8">
        <v>601</v>
      </c>
      <c r="D469" s="8">
        <v>0</v>
      </c>
      <c r="E469" s="8">
        <v>1</v>
      </c>
      <c r="F469" s="8">
        <v>294</v>
      </c>
      <c r="G469" s="8">
        <v>3828.43</v>
      </c>
      <c r="H469" s="8">
        <v>5285.16</v>
      </c>
      <c r="I469" s="8">
        <v>32736.52</v>
      </c>
      <c r="J469" s="8">
        <v>1142</v>
      </c>
      <c r="K469" s="8">
        <v>294</v>
      </c>
      <c r="L469" s="8">
        <v>4456.62</v>
      </c>
      <c r="M469" s="8">
        <v>5.7</v>
      </c>
      <c r="N469" s="8">
        <v>8.1999999999999993</v>
      </c>
      <c r="O469" s="8">
        <v>1946.61</v>
      </c>
      <c r="P469" s="8">
        <v>1</v>
      </c>
      <c r="Q469" s="8" t="s">
        <v>1087</v>
      </c>
    </row>
    <row r="470" spans="1:17" x14ac:dyDescent="0.45">
      <c r="A470" s="8">
        <v>40.200000000000003</v>
      </c>
      <c r="B470" s="8">
        <v>71342.95</v>
      </c>
      <c r="C470" s="8">
        <v>590</v>
      </c>
      <c r="D470" s="8">
        <v>0</v>
      </c>
      <c r="E470" s="8">
        <v>1</v>
      </c>
      <c r="F470" s="8">
        <v>176</v>
      </c>
      <c r="G470" s="8">
        <v>3838.52</v>
      </c>
      <c r="H470" s="8">
        <v>17213.2</v>
      </c>
      <c r="I470" s="8">
        <v>40113.01</v>
      </c>
      <c r="J470" s="8">
        <v>1366</v>
      </c>
      <c r="K470" s="8">
        <v>176</v>
      </c>
      <c r="L470" s="8">
        <v>8820.2099999999991</v>
      </c>
      <c r="M470" s="8">
        <v>3.4</v>
      </c>
      <c r="N470" s="8">
        <v>4.7</v>
      </c>
      <c r="O470" s="8">
        <v>2709.16</v>
      </c>
      <c r="P470" s="8">
        <v>1</v>
      </c>
      <c r="Q470" s="8" t="s">
        <v>1087</v>
      </c>
    </row>
    <row r="471" spans="1:17" x14ac:dyDescent="0.45">
      <c r="A471" s="8">
        <v>82.2</v>
      </c>
      <c r="B471" s="8">
        <v>51859.21</v>
      </c>
      <c r="C471" s="8">
        <v>734</v>
      </c>
      <c r="D471" s="8">
        <v>1</v>
      </c>
      <c r="E471" s="8">
        <v>1</v>
      </c>
      <c r="F471" s="8">
        <v>126</v>
      </c>
      <c r="G471" s="8">
        <v>3878.02</v>
      </c>
      <c r="H471" s="8">
        <v>44265.58</v>
      </c>
      <c r="I471" s="8">
        <v>15000</v>
      </c>
      <c r="J471" s="8">
        <v>3167</v>
      </c>
      <c r="K471" s="8">
        <v>126</v>
      </c>
      <c r="L471" s="8">
        <v>4099.8</v>
      </c>
      <c r="M471" s="8">
        <v>6.7</v>
      </c>
      <c r="N471" s="8">
        <v>5.2</v>
      </c>
      <c r="O471" s="8">
        <v>2944.98</v>
      </c>
      <c r="P471" s="8">
        <v>1</v>
      </c>
      <c r="Q471" s="8" t="s">
        <v>1087</v>
      </c>
    </row>
    <row r="472" spans="1:17" x14ac:dyDescent="0.45">
      <c r="A472" s="8">
        <v>36.9</v>
      </c>
      <c r="B472" s="8">
        <v>87772.78</v>
      </c>
      <c r="C472" s="8">
        <v>667</v>
      </c>
      <c r="D472" s="8">
        <v>1</v>
      </c>
      <c r="E472" s="8">
        <v>0</v>
      </c>
      <c r="F472" s="8">
        <v>214</v>
      </c>
      <c r="G472" s="8">
        <v>4045.72</v>
      </c>
      <c r="H472" s="8">
        <v>41734.15</v>
      </c>
      <c r="I472" s="8">
        <v>66875.759999999995</v>
      </c>
      <c r="J472" s="8">
        <v>4934</v>
      </c>
      <c r="K472" s="8">
        <v>214</v>
      </c>
      <c r="L472" s="8">
        <v>298.07</v>
      </c>
      <c r="M472" s="8">
        <v>4</v>
      </c>
      <c r="N472" s="8">
        <v>3.3</v>
      </c>
      <c r="O472" s="8">
        <v>3736.06</v>
      </c>
      <c r="P472" s="8">
        <v>1</v>
      </c>
      <c r="Q472" s="8" t="s">
        <v>1087</v>
      </c>
    </row>
    <row r="473" spans="1:17" x14ac:dyDescent="0.45">
      <c r="A473" s="8">
        <v>45.3</v>
      </c>
      <c r="B473" s="8">
        <v>76926.009999999995</v>
      </c>
      <c r="C473" s="8">
        <v>640</v>
      </c>
      <c r="D473" s="8">
        <v>1</v>
      </c>
      <c r="E473" s="8">
        <v>0</v>
      </c>
      <c r="F473" s="8">
        <v>195</v>
      </c>
      <c r="G473" s="8">
        <v>4117.62</v>
      </c>
      <c r="H473" s="8">
        <v>6798.73</v>
      </c>
      <c r="I473" s="8">
        <v>28924.82</v>
      </c>
      <c r="J473" s="8">
        <v>1844</v>
      </c>
      <c r="K473" s="8">
        <v>195</v>
      </c>
      <c r="L473" s="8">
        <v>4117.38</v>
      </c>
      <c r="M473" s="8">
        <v>6.8</v>
      </c>
      <c r="N473" s="8">
        <v>2.6</v>
      </c>
      <c r="O473" s="8">
        <v>2820.88</v>
      </c>
      <c r="P473" s="8">
        <v>1</v>
      </c>
      <c r="Q473" s="8" t="s">
        <v>1087</v>
      </c>
    </row>
    <row r="474" spans="1:17" x14ac:dyDescent="0.45">
      <c r="A474" s="8">
        <v>66.5</v>
      </c>
      <c r="B474" s="8">
        <v>98230.86</v>
      </c>
      <c r="C474" s="8">
        <v>500</v>
      </c>
      <c r="D474" s="8">
        <v>0</v>
      </c>
      <c r="E474" s="8">
        <v>1</v>
      </c>
      <c r="F474" s="8">
        <v>267</v>
      </c>
      <c r="G474" s="8">
        <v>4149.2700000000004</v>
      </c>
      <c r="H474" s="8">
        <v>6271.26</v>
      </c>
      <c r="I474" s="8">
        <v>46760.36</v>
      </c>
      <c r="J474" s="8">
        <v>4814</v>
      </c>
      <c r="K474" s="8">
        <v>267</v>
      </c>
      <c r="L474" s="8">
        <v>3520.28</v>
      </c>
      <c r="M474" s="8">
        <v>2.2999999999999998</v>
      </c>
      <c r="N474" s="8">
        <v>5.5</v>
      </c>
      <c r="O474" s="8">
        <v>2642.49</v>
      </c>
      <c r="P474" s="8">
        <v>1</v>
      </c>
      <c r="Q474" s="8" t="s">
        <v>1087</v>
      </c>
    </row>
    <row r="475" spans="1:17" x14ac:dyDescent="0.45">
      <c r="A475" s="8">
        <v>40.1</v>
      </c>
      <c r="B475" s="8">
        <v>90872.19</v>
      </c>
      <c r="C475" s="8">
        <v>689</v>
      </c>
      <c r="D475" s="8">
        <v>0</v>
      </c>
      <c r="E475" s="8">
        <v>1</v>
      </c>
      <c r="F475" s="8">
        <v>275</v>
      </c>
      <c r="G475" s="8">
        <v>4155.1400000000003</v>
      </c>
      <c r="H475" s="8">
        <v>27714.68</v>
      </c>
      <c r="I475" s="8">
        <v>59614.79</v>
      </c>
      <c r="J475" s="8">
        <v>1186</v>
      </c>
      <c r="K475" s="8">
        <v>275</v>
      </c>
      <c r="L475" s="8">
        <v>4028.72</v>
      </c>
      <c r="M475" s="8">
        <v>3.2</v>
      </c>
      <c r="N475" s="8">
        <v>3.7</v>
      </c>
      <c r="O475" s="8">
        <v>3003.08</v>
      </c>
      <c r="P475" s="8">
        <v>1</v>
      </c>
      <c r="Q475" s="8" t="s">
        <v>1087</v>
      </c>
    </row>
    <row r="476" spans="1:17" x14ac:dyDescent="0.45">
      <c r="A476" s="8">
        <v>39.299999999999997</v>
      </c>
      <c r="B476" s="8">
        <v>55442.49</v>
      </c>
      <c r="C476" s="8">
        <v>633</v>
      </c>
      <c r="D476" s="8">
        <v>0</v>
      </c>
      <c r="E476" s="8">
        <v>1</v>
      </c>
      <c r="F476" s="8">
        <v>204</v>
      </c>
      <c r="G476" s="8">
        <v>4230.4399999999996</v>
      </c>
      <c r="H476" s="8">
        <v>10194.280000000001</v>
      </c>
      <c r="I476" s="8">
        <v>24618.48</v>
      </c>
      <c r="J476" s="8">
        <v>4037</v>
      </c>
      <c r="K476" s="8">
        <v>204</v>
      </c>
      <c r="L476" s="8">
        <v>6328.4</v>
      </c>
      <c r="M476" s="8">
        <v>4.5</v>
      </c>
      <c r="N476" s="8">
        <v>9.6999999999999993</v>
      </c>
      <c r="O476" s="8">
        <v>2995.4</v>
      </c>
      <c r="P476" s="8">
        <v>1</v>
      </c>
      <c r="Q476" s="8" t="s">
        <v>1087</v>
      </c>
    </row>
    <row r="477" spans="1:17" x14ac:dyDescent="0.45">
      <c r="A477" s="8">
        <v>64.3</v>
      </c>
      <c r="B477" s="8">
        <v>97006.53</v>
      </c>
      <c r="C477" s="8">
        <v>543</v>
      </c>
      <c r="D477" s="8">
        <v>0</v>
      </c>
      <c r="E477" s="8">
        <v>0</v>
      </c>
      <c r="F477" s="8">
        <v>9</v>
      </c>
      <c r="G477" s="8">
        <v>4488.12</v>
      </c>
      <c r="H477" s="8">
        <v>19421.84</v>
      </c>
      <c r="I477" s="8">
        <v>71504.100000000006</v>
      </c>
      <c r="J477" s="8">
        <v>895</v>
      </c>
      <c r="K477" s="8">
        <v>9</v>
      </c>
      <c r="L477" s="8">
        <v>7306.86</v>
      </c>
      <c r="M477" s="8">
        <v>3</v>
      </c>
      <c r="N477" s="8">
        <v>3.1</v>
      </c>
      <c r="O477" s="8">
        <v>4162.93</v>
      </c>
      <c r="P477" s="8">
        <v>1</v>
      </c>
      <c r="Q477" s="8" t="s">
        <v>1087</v>
      </c>
    </row>
    <row r="478" spans="1:17" x14ac:dyDescent="0.45">
      <c r="A478" s="8">
        <v>71.8</v>
      </c>
      <c r="B478" s="8">
        <v>88537.87</v>
      </c>
      <c r="C478" s="8">
        <v>623</v>
      </c>
      <c r="D478" s="8">
        <v>0</v>
      </c>
      <c r="E478" s="8">
        <v>1</v>
      </c>
      <c r="F478" s="8">
        <v>247</v>
      </c>
      <c r="G478" s="8">
        <v>4556.42</v>
      </c>
      <c r="H478" s="8">
        <v>10083.65</v>
      </c>
      <c r="I478" s="8">
        <v>57252.56</v>
      </c>
      <c r="J478" s="8">
        <v>1495</v>
      </c>
      <c r="K478" s="8">
        <v>247</v>
      </c>
      <c r="L478" s="8">
        <v>6708.7</v>
      </c>
      <c r="M478" s="8">
        <v>8.6999999999999993</v>
      </c>
      <c r="N478" s="8">
        <v>5.0999999999999996</v>
      </c>
      <c r="O478" s="8">
        <v>3512.07</v>
      </c>
      <c r="P478" s="8">
        <v>1</v>
      </c>
      <c r="Q478" s="8" t="s">
        <v>1087</v>
      </c>
    </row>
    <row r="479" spans="1:17" x14ac:dyDescent="0.45">
      <c r="A479" s="8">
        <v>50.3</v>
      </c>
      <c r="B479" s="8">
        <v>119691.45</v>
      </c>
      <c r="C479" s="8">
        <v>685</v>
      </c>
      <c r="D479" s="8">
        <v>0</v>
      </c>
      <c r="E479" s="8">
        <v>1</v>
      </c>
      <c r="F479" s="8">
        <v>61</v>
      </c>
      <c r="G479" s="8">
        <v>4727.04</v>
      </c>
      <c r="H479" s="8">
        <v>9248.08</v>
      </c>
      <c r="I479" s="8">
        <v>69757.45</v>
      </c>
      <c r="J479" s="8">
        <v>4568</v>
      </c>
      <c r="K479" s="8">
        <v>61</v>
      </c>
      <c r="L479" s="8">
        <v>5636.93</v>
      </c>
      <c r="M479" s="8">
        <v>5.9</v>
      </c>
      <c r="N479" s="8">
        <v>8.1999999999999993</v>
      </c>
      <c r="O479" s="8">
        <v>3568.76</v>
      </c>
      <c r="P479" s="8">
        <v>1</v>
      </c>
      <c r="Q479" s="8" t="s">
        <v>1087</v>
      </c>
    </row>
    <row r="480" spans="1:17" x14ac:dyDescent="0.45">
      <c r="A480" s="8">
        <v>48.7</v>
      </c>
      <c r="B480" s="8">
        <v>81327.95</v>
      </c>
      <c r="C480" s="8">
        <v>603</v>
      </c>
      <c r="D480" s="8">
        <v>0</v>
      </c>
      <c r="E480" s="8">
        <v>0</v>
      </c>
      <c r="F480" s="8">
        <v>68</v>
      </c>
      <c r="G480" s="8">
        <v>4845.93</v>
      </c>
      <c r="H480" s="8">
        <v>1399.97</v>
      </c>
      <c r="I480" s="8">
        <v>52258.01</v>
      </c>
      <c r="J480" s="8">
        <v>4317</v>
      </c>
      <c r="K480" s="8">
        <v>68</v>
      </c>
      <c r="L480" s="8">
        <v>2101.12</v>
      </c>
      <c r="M480" s="8">
        <v>3.5</v>
      </c>
      <c r="N480" s="8">
        <v>0.5</v>
      </c>
      <c r="O480" s="8">
        <v>2866.19</v>
      </c>
      <c r="P480" s="8">
        <v>1</v>
      </c>
      <c r="Q480" s="8" t="s">
        <v>1087</v>
      </c>
    </row>
    <row r="481" spans="1:17" x14ac:dyDescent="0.45">
      <c r="A481" s="8">
        <v>46.5</v>
      </c>
      <c r="B481" s="8">
        <v>105239.69</v>
      </c>
      <c r="C481" s="8">
        <v>681</v>
      </c>
      <c r="D481" s="8">
        <v>0</v>
      </c>
      <c r="E481" s="8">
        <v>0</v>
      </c>
      <c r="F481" s="8">
        <v>102</v>
      </c>
      <c r="G481" s="8">
        <v>4949.46</v>
      </c>
      <c r="H481" s="8">
        <v>47723.37</v>
      </c>
      <c r="I481" s="8">
        <v>59710.95</v>
      </c>
      <c r="J481" s="8">
        <v>3795</v>
      </c>
      <c r="K481" s="8">
        <v>102</v>
      </c>
      <c r="L481" s="8">
        <v>419.11</v>
      </c>
      <c r="M481" s="8">
        <v>9.3000000000000007</v>
      </c>
      <c r="N481" s="8">
        <v>4</v>
      </c>
      <c r="O481" s="8">
        <v>3430.31</v>
      </c>
      <c r="P481" s="8">
        <v>1</v>
      </c>
      <c r="Q481" s="8" t="s">
        <v>1087</v>
      </c>
    </row>
    <row r="482" spans="1:17" x14ac:dyDescent="0.45">
      <c r="A482" s="8">
        <v>55</v>
      </c>
      <c r="B482" s="8">
        <v>97614.56</v>
      </c>
      <c r="C482" s="8">
        <v>558</v>
      </c>
      <c r="D482" s="8">
        <v>1</v>
      </c>
      <c r="E482" s="8">
        <v>1</v>
      </c>
      <c r="F482" s="8">
        <v>87</v>
      </c>
      <c r="G482" s="8">
        <v>5052.46</v>
      </c>
      <c r="H482" s="8">
        <v>21762.13</v>
      </c>
      <c r="I482" s="8">
        <v>73009</v>
      </c>
      <c r="J482" s="8">
        <v>4694</v>
      </c>
      <c r="K482" s="8">
        <v>87</v>
      </c>
      <c r="L482" s="8">
        <v>537.04</v>
      </c>
      <c r="M482" s="8">
        <v>2.8</v>
      </c>
      <c r="N482" s="8">
        <v>4.5999999999999996</v>
      </c>
      <c r="O482" s="8">
        <v>4621.79</v>
      </c>
      <c r="P482" s="8">
        <v>1</v>
      </c>
      <c r="Q482" s="8" t="s">
        <v>1087</v>
      </c>
    </row>
    <row r="483" spans="1:17" x14ac:dyDescent="0.45">
      <c r="A483" s="8">
        <v>34.9</v>
      </c>
      <c r="B483" s="8">
        <v>78467.63</v>
      </c>
      <c r="C483" s="8">
        <v>722</v>
      </c>
      <c r="D483" s="8">
        <v>1</v>
      </c>
      <c r="E483" s="8">
        <v>1</v>
      </c>
      <c r="F483" s="8">
        <v>285</v>
      </c>
      <c r="G483" s="8">
        <v>5135.34</v>
      </c>
      <c r="H483" s="8">
        <v>13317.4</v>
      </c>
      <c r="I483" s="8">
        <v>53738.84</v>
      </c>
      <c r="J483" s="8">
        <v>318</v>
      </c>
      <c r="K483" s="8">
        <v>285</v>
      </c>
      <c r="L483" s="8">
        <v>3463.85</v>
      </c>
      <c r="M483" s="8">
        <v>2.2000000000000002</v>
      </c>
      <c r="N483" s="8">
        <v>4.5</v>
      </c>
      <c r="O483" s="8">
        <v>4936.18</v>
      </c>
      <c r="P483" s="8">
        <v>1</v>
      </c>
      <c r="Q483" s="8" t="s">
        <v>1087</v>
      </c>
    </row>
    <row r="484" spans="1:17" x14ac:dyDescent="0.45">
      <c r="A484" s="8">
        <v>41</v>
      </c>
      <c r="B484" s="8">
        <v>69243.77</v>
      </c>
      <c r="C484" s="8">
        <v>705</v>
      </c>
      <c r="D484" s="8">
        <v>1</v>
      </c>
      <c r="E484" s="8">
        <v>0</v>
      </c>
      <c r="F484" s="8">
        <v>79</v>
      </c>
      <c r="G484" s="8">
        <v>5283.5</v>
      </c>
      <c r="H484" s="8">
        <v>10398.1</v>
      </c>
      <c r="I484" s="8">
        <v>23978.85</v>
      </c>
      <c r="J484" s="8">
        <v>4685</v>
      </c>
      <c r="K484" s="8">
        <v>79</v>
      </c>
      <c r="L484" s="8">
        <v>1906.63</v>
      </c>
      <c r="M484" s="8">
        <v>4.7</v>
      </c>
      <c r="N484" s="8">
        <v>6.7</v>
      </c>
      <c r="O484" s="8">
        <v>5224.5200000000004</v>
      </c>
      <c r="P484" s="8">
        <v>1</v>
      </c>
      <c r="Q484" s="8" t="s">
        <v>1087</v>
      </c>
    </row>
    <row r="485" spans="1:17" x14ac:dyDescent="0.45">
      <c r="A485" s="8">
        <v>59.4</v>
      </c>
      <c r="B485" s="8">
        <v>81877.05</v>
      </c>
      <c r="C485" s="8">
        <v>529</v>
      </c>
      <c r="D485" s="8">
        <v>1</v>
      </c>
      <c r="E485" s="8">
        <v>1</v>
      </c>
      <c r="F485" s="8">
        <v>112</v>
      </c>
      <c r="G485" s="8">
        <v>5513.22</v>
      </c>
      <c r="H485" s="8">
        <v>59625.98</v>
      </c>
      <c r="I485" s="8">
        <v>65307.25</v>
      </c>
      <c r="J485" s="8">
        <v>2655</v>
      </c>
      <c r="K485" s="8">
        <v>112</v>
      </c>
      <c r="L485" s="8">
        <v>9907.2199999999993</v>
      </c>
      <c r="M485" s="8">
        <v>1.5</v>
      </c>
      <c r="N485" s="8">
        <v>5.9</v>
      </c>
      <c r="O485" s="8">
        <v>4031.52</v>
      </c>
      <c r="P485" s="8">
        <v>1</v>
      </c>
      <c r="Q485" s="8" t="s">
        <v>1087</v>
      </c>
    </row>
    <row r="486" spans="1:17" x14ac:dyDescent="0.45">
      <c r="A486" s="8">
        <v>58.9</v>
      </c>
      <c r="B486" s="8">
        <v>115124.45</v>
      </c>
      <c r="C486" s="8">
        <v>596</v>
      </c>
      <c r="D486" s="8">
        <v>1</v>
      </c>
      <c r="E486" s="8">
        <v>0</v>
      </c>
      <c r="F486" s="8">
        <v>144</v>
      </c>
      <c r="G486" s="8">
        <v>5756.48</v>
      </c>
      <c r="H486" s="8">
        <v>9453.7900000000009</v>
      </c>
      <c r="I486" s="8">
        <v>69448.13</v>
      </c>
      <c r="J486" s="8">
        <v>4646</v>
      </c>
      <c r="K486" s="8">
        <v>144</v>
      </c>
      <c r="L486" s="8">
        <v>9919.01</v>
      </c>
      <c r="M486" s="8">
        <v>5.2</v>
      </c>
      <c r="N486" s="8">
        <v>5.8</v>
      </c>
      <c r="O486" s="8">
        <v>3806.32</v>
      </c>
      <c r="P486" s="8">
        <v>1</v>
      </c>
      <c r="Q486" s="8" t="s">
        <v>1087</v>
      </c>
    </row>
    <row r="487" spans="1:17" x14ac:dyDescent="0.45">
      <c r="A487" s="8">
        <v>34.6</v>
      </c>
      <c r="B487" s="8">
        <v>52346.55</v>
      </c>
      <c r="C487" s="8">
        <v>593</v>
      </c>
      <c r="D487" s="8">
        <v>1</v>
      </c>
      <c r="E487" s="8">
        <v>0</v>
      </c>
      <c r="F487" s="8">
        <v>67</v>
      </c>
      <c r="G487" s="8">
        <v>6002.66</v>
      </c>
      <c r="H487" s="8">
        <v>406.87</v>
      </c>
      <c r="I487" s="8">
        <v>43430.06</v>
      </c>
      <c r="J487" s="8">
        <v>2426</v>
      </c>
      <c r="K487" s="8">
        <v>67</v>
      </c>
      <c r="L487" s="8">
        <v>4823.22</v>
      </c>
      <c r="M487" s="8">
        <v>2.9</v>
      </c>
      <c r="N487" s="8">
        <v>7.9</v>
      </c>
      <c r="O487" s="8">
        <v>5042.17</v>
      </c>
      <c r="P487" s="8">
        <v>1</v>
      </c>
      <c r="Q487" s="8" t="s">
        <v>1087</v>
      </c>
    </row>
    <row r="488" spans="1:17" x14ac:dyDescent="0.45">
      <c r="A488" s="8">
        <v>52.6</v>
      </c>
      <c r="B488" s="8">
        <v>91420.62</v>
      </c>
      <c r="C488" s="8">
        <v>669</v>
      </c>
      <c r="D488" s="8">
        <v>1</v>
      </c>
      <c r="E488" s="8">
        <v>0</v>
      </c>
      <c r="F488" s="8">
        <v>147</v>
      </c>
      <c r="G488" s="8">
        <v>6456.17</v>
      </c>
      <c r="H488" s="8">
        <v>16125.05</v>
      </c>
      <c r="I488" s="8">
        <v>57211.07</v>
      </c>
      <c r="J488" s="8">
        <v>4888</v>
      </c>
      <c r="K488" s="8">
        <v>147</v>
      </c>
      <c r="L488" s="8">
        <v>6314.03</v>
      </c>
      <c r="M488" s="8">
        <v>5.7</v>
      </c>
      <c r="N488" s="8">
        <v>5.4</v>
      </c>
      <c r="O488" s="8">
        <v>3277.2</v>
      </c>
      <c r="P488" s="8">
        <v>1</v>
      </c>
      <c r="Q488" s="8" t="s">
        <v>1087</v>
      </c>
    </row>
    <row r="489" spans="1:17" x14ac:dyDescent="0.45">
      <c r="A489" s="8">
        <v>46.5</v>
      </c>
      <c r="B489" s="8">
        <v>93876.19</v>
      </c>
      <c r="C489" s="8">
        <v>619</v>
      </c>
      <c r="D489" s="8">
        <v>0</v>
      </c>
      <c r="E489" s="8">
        <v>0</v>
      </c>
      <c r="F489" s="8">
        <v>138</v>
      </c>
      <c r="G489" s="8">
        <v>6730.62</v>
      </c>
      <c r="H489" s="8">
        <v>16687.330000000002</v>
      </c>
      <c r="I489" s="8">
        <v>50523.21</v>
      </c>
      <c r="J489" s="8">
        <v>1319</v>
      </c>
      <c r="K489" s="8">
        <v>138</v>
      </c>
      <c r="L489" s="8">
        <v>5773.06</v>
      </c>
      <c r="M489" s="8">
        <v>1.9</v>
      </c>
      <c r="N489" s="8">
        <v>2.7</v>
      </c>
      <c r="O489" s="8">
        <v>6571.32</v>
      </c>
      <c r="P489" s="8">
        <v>1</v>
      </c>
      <c r="Q489" s="8" t="s">
        <v>1087</v>
      </c>
    </row>
    <row r="490" spans="1:17" x14ac:dyDescent="0.45">
      <c r="A490" s="8">
        <v>62.7</v>
      </c>
      <c r="B490" s="8">
        <v>70222.77</v>
      </c>
      <c r="C490" s="8">
        <v>610</v>
      </c>
      <c r="D490" s="8">
        <v>0</v>
      </c>
      <c r="E490" s="8">
        <v>0</v>
      </c>
      <c r="F490" s="8">
        <v>189</v>
      </c>
      <c r="G490" s="8">
        <v>6734.63</v>
      </c>
      <c r="H490" s="8">
        <v>7230.46</v>
      </c>
      <c r="I490" s="8">
        <v>63694.81</v>
      </c>
      <c r="J490" s="8">
        <v>4789</v>
      </c>
      <c r="K490" s="8">
        <v>189</v>
      </c>
      <c r="L490" s="8">
        <v>6439.33</v>
      </c>
      <c r="M490" s="8">
        <v>1.2</v>
      </c>
      <c r="N490" s="8">
        <v>1.2</v>
      </c>
      <c r="O490" s="8">
        <v>6314.13</v>
      </c>
      <c r="P490" s="8">
        <v>1</v>
      </c>
      <c r="Q490" s="8" t="s">
        <v>1087</v>
      </c>
    </row>
    <row r="491" spans="1:17" x14ac:dyDescent="0.45">
      <c r="A491" s="8">
        <v>78</v>
      </c>
      <c r="B491" s="8">
        <v>65462.04</v>
      </c>
      <c r="C491" s="8">
        <v>699</v>
      </c>
      <c r="D491" s="8">
        <v>1</v>
      </c>
      <c r="E491" s="8">
        <v>0</v>
      </c>
      <c r="F491" s="8">
        <v>89</v>
      </c>
      <c r="G491" s="8">
        <v>6739.97</v>
      </c>
      <c r="H491" s="8">
        <v>10541.57</v>
      </c>
      <c r="I491" s="8">
        <v>46105.74</v>
      </c>
      <c r="J491" s="8">
        <v>899</v>
      </c>
      <c r="K491" s="8">
        <v>89</v>
      </c>
      <c r="L491" s="8">
        <v>2890.08</v>
      </c>
      <c r="M491" s="8">
        <v>5</v>
      </c>
      <c r="N491" s="8">
        <v>3</v>
      </c>
      <c r="O491" s="8">
        <v>3426.97</v>
      </c>
      <c r="P491" s="8">
        <v>1</v>
      </c>
      <c r="Q491" s="8" t="s">
        <v>1087</v>
      </c>
    </row>
    <row r="492" spans="1:17" x14ac:dyDescent="0.45">
      <c r="A492" s="8">
        <v>57.1</v>
      </c>
      <c r="B492" s="8">
        <v>19922.75</v>
      </c>
      <c r="C492" s="8">
        <v>423</v>
      </c>
      <c r="D492" s="8">
        <v>1</v>
      </c>
      <c r="E492" s="8">
        <v>0</v>
      </c>
      <c r="F492" s="8">
        <v>57</v>
      </c>
      <c r="G492" s="8">
        <v>6753.2</v>
      </c>
      <c r="H492" s="8">
        <v>62801.49</v>
      </c>
      <c r="I492" s="8">
        <v>19922.75</v>
      </c>
      <c r="J492" s="8">
        <v>3382</v>
      </c>
      <c r="K492" s="8">
        <v>57</v>
      </c>
      <c r="L492" s="8">
        <v>5599.16</v>
      </c>
      <c r="M492" s="8">
        <v>4</v>
      </c>
      <c r="N492" s="8">
        <v>6.3</v>
      </c>
      <c r="O492" s="8">
        <v>5431.38</v>
      </c>
      <c r="P492" s="8">
        <v>1</v>
      </c>
      <c r="Q492" s="8" t="s">
        <v>1087</v>
      </c>
    </row>
    <row r="493" spans="1:17" x14ac:dyDescent="0.45">
      <c r="A493" s="8">
        <v>43</v>
      </c>
      <c r="B493" s="8">
        <v>106443.45</v>
      </c>
      <c r="C493" s="8">
        <v>694</v>
      </c>
      <c r="D493" s="8">
        <v>1</v>
      </c>
      <c r="E493" s="8">
        <v>0</v>
      </c>
      <c r="F493" s="8">
        <v>147</v>
      </c>
      <c r="G493" s="8">
        <v>7020.92</v>
      </c>
      <c r="H493" s="8">
        <v>7084.2</v>
      </c>
      <c r="I493" s="8">
        <v>69251.83</v>
      </c>
      <c r="J493" s="8">
        <v>3168</v>
      </c>
      <c r="K493" s="8">
        <v>147</v>
      </c>
      <c r="L493" s="8">
        <v>2506.04</v>
      </c>
      <c r="M493" s="8">
        <v>3.8</v>
      </c>
      <c r="N493" s="8">
        <v>3.4</v>
      </c>
      <c r="O493" s="8">
        <v>6929.22</v>
      </c>
      <c r="P493" s="8">
        <v>1</v>
      </c>
      <c r="Q493" s="8" t="s">
        <v>1087</v>
      </c>
    </row>
    <row r="494" spans="1:17" x14ac:dyDescent="0.45">
      <c r="A494" s="8">
        <v>90</v>
      </c>
      <c r="B494" s="8">
        <v>43018.43</v>
      </c>
      <c r="C494" s="8">
        <v>506</v>
      </c>
      <c r="D494" s="8">
        <v>0</v>
      </c>
      <c r="E494" s="8">
        <v>0</v>
      </c>
      <c r="F494" s="8">
        <v>38</v>
      </c>
      <c r="G494" s="8">
        <v>7971.49</v>
      </c>
      <c r="H494" s="8">
        <v>38972.559999999998</v>
      </c>
      <c r="I494" s="8">
        <v>29552.82</v>
      </c>
      <c r="J494" s="8">
        <v>4617</v>
      </c>
      <c r="K494" s="8">
        <v>38</v>
      </c>
      <c r="L494" s="8">
        <v>9544.43</v>
      </c>
      <c r="M494" s="8">
        <v>7.7</v>
      </c>
      <c r="N494" s="8">
        <v>5.6</v>
      </c>
      <c r="O494" s="8">
        <v>4153.03</v>
      </c>
      <c r="P494" s="8">
        <v>1</v>
      </c>
      <c r="Q494" s="8" t="s">
        <v>1087</v>
      </c>
    </row>
    <row r="495" spans="1:17" x14ac:dyDescent="0.45">
      <c r="A495" s="8">
        <v>51.5</v>
      </c>
      <c r="B495" s="8">
        <v>82850.41</v>
      </c>
      <c r="C495" s="8">
        <v>547</v>
      </c>
      <c r="D495" s="8">
        <v>0</v>
      </c>
      <c r="E495" s="8">
        <v>0</v>
      </c>
      <c r="F495" s="8">
        <v>61</v>
      </c>
      <c r="G495" s="8">
        <v>8343.65</v>
      </c>
      <c r="H495" s="8">
        <v>10738.02</v>
      </c>
      <c r="I495" s="8">
        <v>44617.15</v>
      </c>
      <c r="J495" s="8">
        <v>3205</v>
      </c>
      <c r="K495" s="8">
        <v>61</v>
      </c>
      <c r="L495" s="8">
        <v>5198.78</v>
      </c>
      <c r="M495" s="8">
        <v>4.5</v>
      </c>
      <c r="N495" s="8">
        <v>5.4</v>
      </c>
      <c r="O495" s="8">
        <v>7597.73</v>
      </c>
      <c r="P495" s="8">
        <v>1</v>
      </c>
      <c r="Q495" s="8" t="s">
        <v>1087</v>
      </c>
    </row>
    <row r="496" spans="1:17" x14ac:dyDescent="0.45">
      <c r="A496" s="8">
        <v>28.6</v>
      </c>
      <c r="B496" s="8">
        <v>79910.64</v>
      </c>
      <c r="C496" s="8">
        <v>560</v>
      </c>
      <c r="D496" s="8">
        <v>1</v>
      </c>
      <c r="E496" s="8">
        <v>1</v>
      </c>
      <c r="F496" s="8">
        <v>169</v>
      </c>
      <c r="G496" s="8">
        <v>8562.81</v>
      </c>
      <c r="H496" s="8">
        <v>56563.78</v>
      </c>
      <c r="I496" s="8">
        <v>37464.65</v>
      </c>
      <c r="J496" s="8">
        <v>4647</v>
      </c>
      <c r="K496" s="8">
        <v>169</v>
      </c>
      <c r="L496" s="8">
        <v>6857.55</v>
      </c>
      <c r="M496" s="8">
        <v>1.7</v>
      </c>
      <c r="N496" s="8">
        <v>6</v>
      </c>
      <c r="O496" s="8">
        <v>5795.27</v>
      </c>
      <c r="P496" s="8">
        <v>1</v>
      </c>
      <c r="Q496" s="8" t="s">
        <v>1087</v>
      </c>
    </row>
    <row r="497" spans="1:17" x14ac:dyDescent="0.45">
      <c r="A497" s="8">
        <v>37.9</v>
      </c>
      <c r="B497" s="8">
        <v>59105.26</v>
      </c>
      <c r="C497" s="8">
        <v>744</v>
      </c>
      <c r="D497" s="8">
        <v>0</v>
      </c>
      <c r="E497" s="8">
        <v>1</v>
      </c>
      <c r="F497" s="8">
        <v>234</v>
      </c>
      <c r="G497" s="8">
        <v>8620.4500000000007</v>
      </c>
      <c r="H497" s="8">
        <v>36508.870000000003</v>
      </c>
      <c r="I497" s="8">
        <v>38578.93</v>
      </c>
      <c r="J497" s="8">
        <v>3205</v>
      </c>
      <c r="K497" s="8">
        <v>234</v>
      </c>
      <c r="L497" s="8">
        <v>4052.4</v>
      </c>
      <c r="M497" s="8">
        <v>0.5</v>
      </c>
      <c r="N497" s="8">
        <v>2.2999999999999998</v>
      </c>
      <c r="O497" s="8">
        <v>7091.7</v>
      </c>
      <c r="P497" s="8">
        <v>1</v>
      </c>
      <c r="Q497" s="8" t="s">
        <v>1087</v>
      </c>
    </row>
    <row r="498" spans="1:17" x14ac:dyDescent="0.45">
      <c r="A498" s="8">
        <v>61.7</v>
      </c>
      <c r="B498" s="8">
        <v>63203.95</v>
      </c>
      <c r="C498" s="8">
        <v>653</v>
      </c>
      <c r="D498" s="8">
        <v>0</v>
      </c>
      <c r="E498" s="8">
        <v>0</v>
      </c>
      <c r="F498" s="8">
        <v>125</v>
      </c>
      <c r="G498" s="8">
        <v>8848.0300000000007</v>
      </c>
      <c r="H498" s="8">
        <v>51132.59</v>
      </c>
      <c r="I498" s="8">
        <v>50167.28</v>
      </c>
      <c r="J498" s="8">
        <v>1915</v>
      </c>
      <c r="K498" s="8">
        <v>125</v>
      </c>
      <c r="L498" s="8">
        <v>4705.08</v>
      </c>
      <c r="M498" s="8">
        <v>4.3</v>
      </c>
      <c r="N498" s="8">
        <v>8.8000000000000007</v>
      </c>
      <c r="O498" s="8">
        <v>4994.7299999999996</v>
      </c>
      <c r="P498" s="8">
        <v>1</v>
      </c>
      <c r="Q498" s="8" t="s">
        <v>1087</v>
      </c>
    </row>
    <row r="499" spans="1:17" x14ac:dyDescent="0.45">
      <c r="A499" s="8">
        <v>59.4</v>
      </c>
      <c r="B499" s="8">
        <v>59968.6</v>
      </c>
      <c r="C499" s="8">
        <v>772</v>
      </c>
      <c r="D499" s="8">
        <v>0</v>
      </c>
      <c r="E499" s="8">
        <v>0</v>
      </c>
      <c r="F499" s="8">
        <v>112</v>
      </c>
      <c r="G499" s="8">
        <v>9042.64</v>
      </c>
      <c r="H499" s="8">
        <v>41667.17</v>
      </c>
      <c r="I499" s="8">
        <v>50958.19</v>
      </c>
      <c r="J499" s="8">
        <v>1453</v>
      </c>
      <c r="K499" s="8">
        <v>112</v>
      </c>
      <c r="L499" s="8">
        <v>8266.27</v>
      </c>
      <c r="M499" s="8">
        <v>3.1</v>
      </c>
      <c r="N499" s="8">
        <v>9.3000000000000007</v>
      </c>
      <c r="O499" s="8">
        <v>5484.63</v>
      </c>
      <c r="P499" s="8">
        <v>1</v>
      </c>
      <c r="Q499" s="8" t="s">
        <v>1087</v>
      </c>
    </row>
    <row r="500" spans="1:17" x14ac:dyDescent="0.45">
      <c r="A500" s="8">
        <v>48.3</v>
      </c>
      <c r="B500" s="8">
        <v>53580.86</v>
      </c>
      <c r="C500" s="8">
        <v>641</v>
      </c>
      <c r="D500" s="8">
        <v>1</v>
      </c>
      <c r="E500" s="8">
        <v>0</v>
      </c>
      <c r="F500" s="8">
        <v>43</v>
      </c>
      <c r="G500" s="8">
        <v>11158.44</v>
      </c>
      <c r="H500" s="8">
        <v>6579.38</v>
      </c>
      <c r="I500" s="8">
        <v>15000</v>
      </c>
      <c r="J500" s="8">
        <v>3379</v>
      </c>
      <c r="K500" s="8">
        <v>43</v>
      </c>
      <c r="L500" s="8">
        <v>8359.4699999999993</v>
      </c>
      <c r="M500" s="8">
        <v>3.2</v>
      </c>
      <c r="N500" s="8">
        <v>5.0999999999999996</v>
      </c>
      <c r="O500" s="8">
        <v>10218.89</v>
      </c>
      <c r="P500" s="8">
        <v>1</v>
      </c>
      <c r="Q500" s="8" t="s">
        <v>1087</v>
      </c>
    </row>
    <row r="501" spans="1:17" x14ac:dyDescent="0.45">
      <c r="A501" s="8">
        <v>47.8</v>
      </c>
      <c r="B501" s="8">
        <v>86912.7</v>
      </c>
      <c r="C501" s="8">
        <v>708</v>
      </c>
      <c r="D501" s="8">
        <v>0</v>
      </c>
      <c r="E501" s="8">
        <v>1</v>
      </c>
      <c r="F501" s="8">
        <v>41</v>
      </c>
      <c r="G501" s="8">
        <v>15050.41</v>
      </c>
      <c r="H501" s="8">
        <v>23444.5</v>
      </c>
      <c r="I501" s="8">
        <v>55059.49</v>
      </c>
      <c r="J501" s="8">
        <v>1274</v>
      </c>
      <c r="K501" s="8">
        <v>41</v>
      </c>
      <c r="L501" s="8">
        <v>5868.73</v>
      </c>
      <c r="M501" s="8">
        <v>6.8</v>
      </c>
      <c r="N501" s="8">
        <v>10.5</v>
      </c>
      <c r="O501" s="8">
        <v>8190.71</v>
      </c>
      <c r="P501" s="8">
        <v>1</v>
      </c>
      <c r="Q501" s="8" t="s">
        <v>1087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25922-9544-4A02-AA5B-27C95C1CA379}">
  <dimension ref="I2:N35"/>
  <sheetViews>
    <sheetView showGridLines="0" showRowColHeaders="0" zoomScale="66" workbookViewId="0">
      <selection activeCell="I24" sqref="I24:N24"/>
    </sheetView>
  </sheetViews>
  <sheetFormatPr defaultRowHeight="14.25" x14ac:dyDescent="0.45"/>
  <cols>
    <col min="1" max="1" width="19.33203125" bestFit="1" customWidth="1"/>
  </cols>
  <sheetData>
    <row r="2" spans="9:14" x14ac:dyDescent="0.45">
      <c r="K2" s="1" t="s">
        <v>1036</v>
      </c>
    </row>
    <row r="4" spans="9:14" x14ac:dyDescent="0.45">
      <c r="I4" s="23" t="s">
        <v>1037</v>
      </c>
      <c r="J4" s="23" t="s">
        <v>1033</v>
      </c>
      <c r="K4" s="23" t="s">
        <v>1034</v>
      </c>
      <c r="L4" s="23" t="s">
        <v>1038</v>
      </c>
      <c r="M4" s="23" t="s">
        <v>1039</v>
      </c>
      <c r="N4" s="23" t="s">
        <v>1040</v>
      </c>
    </row>
    <row r="5" spans="9:14" x14ac:dyDescent="0.45">
      <c r="I5" s="2" t="s">
        <v>2</v>
      </c>
      <c r="J5" s="2">
        <v>51.669512195121953</v>
      </c>
      <c r="K5" s="2">
        <v>51</v>
      </c>
      <c r="L5" s="2">
        <v>14.99403709254128</v>
      </c>
      <c r="M5" s="2">
        <v>18</v>
      </c>
      <c r="N5" s="2">
        <v>90</v>
      </c>
    </row>
    <row r="6" spans="9:14" x14ac:dyDescent="0.45">
      <c r="I6" s="2" t="s">
        <v>7</v>
      </c>
      <c r="J6" s="2">
        <v>56157.686707317072</v>
      </c>
      <c r="K6" s="2">
        <v>56199.754999999997</v>
      </c>
      <c r="L6" s="2">
        <v>18871.94534443209</v>
      </c>
      <c r="M6" s="2">
        <v>15000</v>
      </c>
      <c r="N6" s="2">
        <v>122754.97</v>
      </c>
    </row>
    <row r="7" spans="9:14" x14ac:dyDescent="0.45">
      <c r="I7" s="2" t="s">
        <v>8</v>
      </c>
      <c r="J7" s="2">
        <v>84834.179512195129</v>
      </c>
      <c r="K7" s="2">
        <v>86011.82</v>
      </c>
      <c r="L7" s="2">
        <v>24213.434359754861</v>
      </c>
      <c r="M7" s="2">
        <v>19922.75</v>
      </c>
      <c r="N7" s="2">
        <v>157694.98000000001</v>
      </c>
    </row>
    <row r="8" spans="9:14" x14ac:dyDescent="0.45">
      <c r="I8" s="2" t="s">
        <v>9</v>
      </c>
      <c r="J8" s="2">
        <v>646.56910569105696</v>
      </c>
      <c r="K8" s="2">
        <v>645.5</v>
      </c>
      <c r="L8" s="2">
        <v>80.41363284772288</v>
      </c>
      <c r="M8" s="2">
        <v>423</v>
      </c>
      <c r="N8" s="2">
        <v>850</v>
      </c>
    </row>
    <row r="9" spans="9:14" x14ac:dyDescent="0.45">
      <c r="I9" s="2" t="s">
        <v>10</v>
      </c>
      <c r="J9" s="2">
        <v>19775.04699186992</v>
      </c>
      <c r="K9" s="2">
        <v>14301.395</v>
      </c>
      <c r="L9" s="2">
        <v>19016.5501332608</v>
      </c>
      <c r="M9" s="2">
        <v>11.96</v>
      </c>
      <c r="N9" s="2">
        <v>115848.45</v>
      </c>
    </row>
    <row r="10" spans="9:14" x14ac:dyDescent="0.45">
      <c r="I10" s="2" t="s">
        <v>11</v>
      </c>
      <c r="J10" s="2">
        <v>0.3983739837398374</v>
      </c>
      <c r="K10" s="2">
        <v>0</v>
      </c>
      <c r="L10" s="2">
        <v>0.4905613177820537</v>
      </c>
      <c r="M10" s="2">
        <v>0</v>
      </c>
      <c r="N10" s="2">
        <v>1</v>
      </c>
    </row>
    <row r="11" spans="9:14" x14ac:dyDescent="0.45">
      <c r="I11" s="2" t="s">
        <v>12</v>
      </c>
      <c r="J11" s="2">
        <v>0.47967479674796748</v>
      </c>
      <c r="K11" s="2">
        <v>0</v>
      </c>
      <c r="L11" s="2">
        <v>0.50060524177928578</v>
      </c>
      <c r="M11" s="2">
        <v>0</v>
      </c>
      <c r="N11" s="2">
        <v>1</v>
      </c>
    </row>
    <row r="12" spans="9:14" x14ac:dyDescent="0.45">
      <c r="I12" s="2" t="s">
        <v>13</v>
      </c>
      <c r="J12" s="2">
        <v>1929.088739837398</v>
      </c>
      <c r="K12" s="2">
        <v>1222.2650000000001</v>
      </c>
      <c r="L12" s="2">
        <v>2147.1275924684169</v>
      </c>
      <c r="M12" s="2">
        <v>10</v>
      </c>
      <c r="N12" s="2">
        <v>15050.41</v>
      </c>
    </row>
    <row r="13" spans="9:14" x14ac:dyDescent="0.45">
      <c r="I13" s="2" t="s">
        <v>16</v>
      </c>
      <c r="J13" s="2">
        <v>2601.5772357723581</v>
      </c>
      <c r="K13" s="2">
        <v>2727.5</v>
      </c>
      <c r="L13" s="2">
        <v>1420.6473259125689</v>
      </c>
      <c r="M13" s="2">
        <v>32</v>
      </c>
      <c r="N13" s="2">
        <v>4983</v>
      </c>
    </row>
    <row r="14" spans="9:14" x14ac:dyDescent="0.45">
      <c r="I14" s="2" t="s">
        <v>17</v>
      </c>
      <c r="J14" s="2">
        <v>150.96341463414629</v>
      </c>
      <c r="K14" s="2">
        <v>146</v>
      </c>
      <c r="L14" s="2">
        <v>84.364483065959448</v>
      </c>
      <c r="M14" s="2">
        <v>2</v>
      </c>
      <c r="N14" s="2">
        <v>296</v>
      </c>
    </row>
    <row r="15" spans="9:14" x14ac:dyDescent="0.45">
      <c r="I15" s="2" t="s">
        <v>18</v>
      </c>
      <c r="J15" s="2">
        <v>4980.1471138211382</v>
      </c>
      <c r="K15" s="2">
        <v>4834.2800000000007</v>
      </c>
      <c r="L15" s="2">
        <v>2807.4917986431178</v>
      </c>
      <c r="M15" s="2">
        <v>108.37</v>
      </c>
      <c r="N15" s="2">
        <v>9919.01</v>
      </c>
    </row>
    <row r="16" spans="9:14" x14ac:dyDescent="0.45">
      <c r="I16" s="2" t="s">
        <v>19</v>
      </c>
      <c r="J16" s="2">
        <v>4.2853658536585364</v>
      </c>
      <c r="K16" s="2">
        <v>4.2</v>
      </c>
      <c r="L16" s="2">
        <v>1.995860325031126</v>
      </c>
      <c r="M16" s="2">
        <v>0.5</v>
      </c>
      <c r="N16" s="2">
        <v>10</v>
      </c>
    </row>
    <row r="17" spans="9:14" x14ac:dyDescent="0.45">
      <c r="I17" s="2" t="s">
        <v>20</v>
      </c>
      <c r="J17" s="2">
        <v>5.2979674796747984</v>
      </c>
      <c r="K17" s="2">
        <v>5.3</v>
      </c>
      <c r="L17" s="2">
        <v>2.451362789443603</v>
      </c>
      <c r="M17" s="2">
        <v>0.5</v>
      </c>
      <c r="N17" s="2">
        <v>13.9</v>
      </c>
    </row>
    <row r="18" spans="9:14" x14ac:dyDescent="0.45">
      <c r="I18" s="2" t="s">
        <v>21</v>
      </c>
      <c r="J18" s="2">
        <v>1</v>
      </c>
      <c r="K18" s="2">
        <v>1</v>
      </c>
      <c r="L18" s="2">
        <v>0</v>
      </c>
      <c r="M18" s="2">
        <v>1</v>
      </c>
      <c r="N18" s="2">
        <v>1</v>
      </c>
    </row>
    <row r="19" spans="9:14" x14ac:dyDescent="0.45">
      <c r="I19" s="2" t="s">
        <v>22</v>
      </c>
      <c r="J19" s="2">
        <v>1448.1113414634151</v>
      </c>
      <c r="K19" s="2">
        <v>848.62</v>
      </c>
      <c r="L19" s="2">
        <v>1621.927363152583</v>
      </c>
      <c r="M19" s="2">
        <v>7.88</v>
      </c>
      <c r="N19" s="2">
        <v>10218.89</v>
      </c>
    </row>
    <row r="22" spans="9:14" x14ac:dyDescent="0.45">
      <c r="K22" s="1" t="s">
        <v>1041</v>
      </c>
    </row>
    <row r="24" spans="9:14" x14ac:dyDescent="0.45">
      <c r="I24" s="23" t="s">
        <v>1037</v>
      </c>
      <c r="J24" s="23" t="s">
        <v>1033</v>
      </c>
      <c r="K24" s="23" t="s">
        <v>1034</v>
      </c>
      <c r="L24" s="23" t="s">
        <v>1038</v>
      </c>
      <c r="M24" s="23" t="s">
        <v>1039</v>
      </c>
      <c r="N24" s="23" t="s">
        <v>1040</v>
      </c>
    </row>
    <row r="25" spans="9:14" x14ac:dyDescent="0.45">
      <c r="I25" s="2" t="s">
        <v>10</v>
      </c>
      <c r="J25" s="2">
        <v>20000.273897637799</v>
      </c>
      <c r="K25" s="2">
        <v>12309.92</v>
      </c>
      <c r="L25" s="2">
        <v>21016.806880267221</v>
      </c>
      <c r="M25" s="2">
        <v>4.54</v>
      </c>
      <c r="N25" s="2">
        <v>113250.75</v>
      </c>
    </row>
    <row r="26" spans="9:14" x14ac:dyDescent="0.45">
      <c r="I26" s="2" t="s">
        <v>11</v>
      </c>
      <c r="J26" s="2">
        <v>0.37401574803149612</v>
      </c>
      <c r="K26" s="2">
        <v>0</v>
      </c>
      <c r="L26" s="2">
        <v>0.48482303497780549</v>
      </c>
      <c r="M26" s="2">
        <v>0</v>
      </c>
      <c r="N26" s="2">
        <v>1</v>
      </c>
    </row>
    <row r="27" spans="9:14" x14ac:dyDescent="0.45">
      <c r="I27" s="2" t="s">
        <v>12</v>
      </c>
      <c r="J27" s="2">
        <v>0.51181102362204722</v>
      </c>
      <c r="K27" s="2">
        <v>1</v>
      </c>
      <c r="L27" s="2">
        <v>0.5008473725886835</v>
      </c>
      <c r="M27" s="2">
        <v>0</v>
      </c>
      <c r="N27" s="2">
        <v>1</v>
      </c>
    </row>
    <row r="28" spans="9:14" x14ac:dyDescent="0.45">
      <c r="I28" s="2" t="s">
        <v>13</v>
      </c>
      <c r="J28" s="2">
        <v>2077.3004724409452</v>
      </c>
      <c r="K28" s="2">
        <v>1492.115</v>
      </c>
      <c r="L28" s="2">
        <v>2045.9406385509051</v>
      </c>
      <c r="M28" s="2">
        <v>14.98</v>
      </c>
      <c r="N28" s="2">
        <v>14678</v>
      </c>
    </row>
    <row r="29" spans="9:14" x14ac:dyDescent="0.45">
      <c r="I29" s="2" t="s">
        <v>16</v>
      </c>
      <c r="J29" s="2">
        <v>2571.0393700787399</v>
      </c>
      <c r="K29" s="2">
        <v>2601.5</v>
      </c>
      <c r="L29" s="2">
        <v>1467.9921346978599</v>
      </c>
      <c r="M29" s="2">
        <v>42</v>
      </c>
      <c r="N29" s="2">
        <v>4999</v>
      </c>
    </row>
    <row r="30" spans="9:14" x14ac:dyDescent="0.45">
      <c r="I30" s="2" t="s">
        <v>17</v>
      </c>
      <c r="J30" s="2">
        <v>145.39763779527561</v>
      </c>
      <c r="K30" s="2">
        <v>145.5</v>
      </c>
      <c r="L30" s="2">
        <v>89.735246039389182</v>
      </c>
      <c r="M30" s="2">
        <v>1</v>
      </c>
      <c r="N30" s="2">
        <v>298</v>
      </c>
    </row>
    <row r="31" spans="9:14" x14ac:dyDescent="0.45">
      <c r="I31" s="2" t="s">
        <v>18</v>
      </c>
      <c r="J31" s="2">
        <v>5254.1812598425186</v>
      </c>
      <c r="K31" s="2">
        <v>5625.71</v>
      </c>
      <c r="L31" s="2">
        <v>2958.4431889902821</v>
      </c>
      <c r="M31" s="2">
        <v>75.19</v>
      </c>
      <c r="N31" s="2">
        <v>9997.42</v>
      </c>
    </row>
    <row r="32" spans="9:14" x14ac:dyDescent="0.45">
      <c r="I32" s="2" t="s">
        <v>19</v>
      </c>
      <c r="J32" s="2">
        <v>3.8303149606299218</v>
      </c>
      <c r="K32" s="2">
        <v>3.85</v>
      </c>
      <c r="L32" s="2">
        <v>1.8844449333243509</v>
      </c>
      <c r="M32" s="2">
        <v>0.5</v>
      </c>
      <c r="N32" s="2">
        <v>9.1999999999999993</v>
      </c>
    </row>
    <row r="33" spans="9:14" x14ac:dyDescent="0.45">
      <c r="I33" s="2" t="s">
        <v>20</v>
      </c>
      <c r="J33" s="2">
        <v>5.00275590551181</v>
      </c>
      <c r="K33" s="2">
        <v>5</v>
      </c>
      <c r="L33" s="2">
        <v>2.5288126780637068</v>
      </c>
      <c r="M33" s="2">
        <v>0.5</v>
      </c>
      <c r="N33" s="2">
        <v>12.7</v>
      </c>
    </row>
    <row r="34" spans="9:14" x14ac:dyDescent="0.45">
      <c r="I34" s="2" t="s">
        <v>21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9:14" x14ac:dyDescent="0.45">
      <c r="I35" s="2" t="s">
        <v>22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81E4-2287-4072-969E-E0D28A6CB262}">
  <dimension ref="A3:B8"/>
  <sheetViews>
    <sheetView workbookViewId="0">
      <selection activeCell="L22" sqref="L22"/>
    </sheetView>
  </sheetViews>
  <sheetFormatPr defaultRowHeight="14.25" x14ac:dyDescent="0.45"/>
  <cols>
    <col min="1" max="1" width="12.1328125" bestFit="1" customWidth="1"/>
    <col min="2" max="2" width="22.1328125" bestFit="1" customWidth="1"/>
  </cols>
  <sheetData>
    <row r="3" spans="1:2" x14ac:dyDescent="0.45">
      <c r="A3" s="5" t="s">
        <v>1051</v>
      </c>
      <c r="B3" t="s">
        <v>1053</v>
      </c>
    </row>
    <row r="4" spans="1:2" x14ac:dyDescent="0.45">
      <c r="A4" s="6" t="s">
        <v>1026</v>
      </c>
      <c r="B4">
        <v>129</v>
      </c>
    </row>
    <row r="5" spans="1:2" x14ac:dyDescent="0.45">
      <c r="A5" s="6" t="s">
        <v>1025</v>
      </c>
      <c r="B5">
        <v>118</v>
      </c>
    </row>
    <row r="6" spans="1:2" x14ac:dyDescent="0.45">
      <c r="A6" s="6" t="s">
        <v>1024</v>
      </c>
      <c r="B6">
        <v>122</v>
      </c>
    </row>
    <row r="7" spans="1:2" x14ac:dyDescent="0.45">
      <c r="A7" s="6" t="s">
        <v>1027</v>
      </c>
      <c r="B7">
        <v>131</v>
      </c>
    </row>
    <row r="8" spans="1:2" x14ac:dyDescent="0.45">
      <c r="A8" s="6" t="s">
        <v>1052</v>
      </c>
      <c r="B8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Master_data</vt:lpstr>
      <vt:lpstr>Summary stats</vt:lpstr>
      <vt:lpstr>Outlier_Detection</vt:lpstr>
      <vt:lpstr>Correlation matrix</vt:lpstr>
      <vt:lpstr>Charts</vt:lpstr>
      <vt:lpstr>Regression analysis</vt:lpstr>
      <vt:lpstr>Numerical_data</vt:lpstr>
      <vt:lpstr>fraud vs Non fraud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Ananya M</cp:lastModifiedBy>
  <dcterms:created xsi:type="dcterms:W3CDTF">2025-10-07T10:18:19Z</dcterms:created>
  <dcterms:modified xsi:type="dcterms:W3CDTF">2026-01-12T22:06:57Z</dcterms:modified>
</cp:coreProperties>
</file>